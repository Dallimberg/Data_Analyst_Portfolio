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 Data" sheetId="2" r:id="rId6"/>
    <sheet state="visible" name="Pivot Tables" sheetId="3" r:id="rId7"/>
  </sheets>
  <definedNames>
    <definedName hidden="1" localSheetId="1" name="_xlnm._FilterDatabase">'Clean Data'!$A$1:$H$101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<sst xmlns="http://schemas.openxmlformats.org/spreadsheetml/2006/main" count="770" uniqueCount="149">
  <si>
    <t>Rank</t>
  </si>
  <si>
    <t>Song_Title</t>
  </si>
  <si>
    <t>Artist</t>
  </si>
  <si>
    <t>Genre</t>
  </si>
  <si>
    <t>Release_Date</t>
  </si>
  <si>
    <t>Spotify_Streams_Millions</t>
  </si>
  <si>
    <t>Popularity_Score</t>
  </si>
  <si>
    <t>Duration_Seconds</t>
  </si>
  <si>
    <t>Explicit</t>
  </si>
  <si>
    <t>Song 1</t>
  </si>
  <si>
    <t>Taylor Swift</t>
  </si>
  <si>
    <t>Latin</t>
  </si>
  <si>
    <t>No</t>
  </si>
  <si>
    <t>Song 2</t>
  </si>
  <si>
    <t>Travis Scott</t>
  </si>
  <si>
    <t>Pop</t>
  </si>
  <si>
    <t>Yes</t>
  </si>
  <si>
    <t>Song 3</t>
  </si>
  <si>
    <t>Ed Sheeran</t>
  </si>
  <si>
    <t>Afrobeats</t>
  </si>
  <si>
    <t>Song 4</t>
  </si>
  <si>
    <t>Doja Cat</t>
  </si>
  <si>
    <t>Song 5</t>
  </si>
  <si>
    <t>Imagine Dragons</t>
  </si>
  <si>
    <t>Electronic</t>
  </si>
  <si>
    <t>Song 6</t>
  </si>
  <si>
    <t>Justin Bieber</t>
  </si>
  <si>
    <t>Hip-Hop</t>
  </si>
  <si>
    <t>Song 7</t>
  </si>
  <si>
    <t>Rihanna</t>
  </si>
  <si>
    <t>R&amp;B</t>
  </si>
  <si>
    <t>Song 8</t>
  </si>
  <si>
    <t>Indie</t>
  </si>
  <si>
    <t>Song 9</t>
  </si>
  <si>
    <t>Drake</t>
  </si>
  <si>
    <t>K-Pop</t>
  </si>
  <si>
    <t>Song 10</t>
  </si>
  <si>
    <t>Song 11</t>
  </si>
  <si>
    <t>Bad Bunny</t>
  </si>
  <si>
    <t>Song 12</t>
  </si>
  <si>
    <t>Song 13</t>
  </si>
  <si>
    <t>Olivia Rodrigo</t>
  </si>
  <si>
    <t>Song 14</t>
  </si>
  <si>
    <t>Post Malone</t>
  </si>
  <si>
    <t>Song 15</t>
  </si>
  <si>
    <t>Song 16</t>
  </si>
  <si>
    <t>Billie Eilish</t>
  </si>
  <si>
    <t>Rock</t>
  </si>
  <si>
    <t>Song 17</t>
  </si>
  <si>
    <t>Song 18</t>
  </si>
  <si>
    <t>Song 19</t>
  </si>
  <si>
    <t>Song 20</t>
  </si>
  <si>
    <t>Bruno Mars</t>
  </si>
  <si>
    <t>Song 21</t>
  </si>
  <si>
    <t>The Weeknd</t>
  </si>
  <si>
    <t>Song 22</t>
  </si>
  <si>
    <t>Song 23</t>
  </si>
  <si>
    <t>SZA</t>
  </si>
  <si>
    <t>Song 24</t>
  </si>
  <si>
    <t>Song 25</t>
  </si>
  <si>
    <t>Song 26</t>
  </si>
  <si>
    <t>Song 27</t>
  </si>
  <si>
    <t>Song 28</t>
  </si>
  <si>
    <t>BTS</t>
  </si>
  <si>
    <t>Song 29</t>
  </si>
  <si>
    <t>Song 30</t>
  </si>
  <si>
    <t>Song 31</t>
  </si>
  <si>
    <t>Song 32</t>
  </si>
  <si>
    <t>Song 33</t>
  </si>
  <si>
    <t>Song 34</t>
  </si>
  <si>
    <t>Ariana Grande</t>
  </si>
  <si>
    <t>Song 35</t>
  </si>
  <si>
    <t>Song 36</t>
  </si>
  <si>
    <t>Song 37</t>
  </si>
  <si>
    <t>Song 38</t>
  </si>
  <si>
    <t>Song 39</t>
  </si>
  <si>
    <t>Song 40</t>
  </si>
  <si>
    <t>Song 41</t>
  </si>
  <si>
    <t>Kanye West</t>
  </si>
  <si>
    <t>Song 42</t>
  </si>
  <si>
    <t>Song 43</t>
  </si>
  <si>
    <t>Song 44</t>
  </si>
  <si>
    <t>Coldplay</t>
  </si>
  <si>
    <t>Song 45</t>
  </si>
  <si>
    <t>Song 46</t>
  </si>
  <si>
    <t>Song 47</t>
  </si>
  <si>
    <t>Song 48</t>
  </si>
  <si>
    <t>Song 49</t>
  </si>
  <si>
    <t>Song 50</t>
  </si>
  <si>
    <t>Dua Lipa</t>
  </si>
  <si>
    <t>Song 51</t>
  </si>
  <si>
    <t>Song 52</t>
  </si>
  <si>
    <t>Song 53</t>
  </si>
  <si>
    <t>Song 54</t>
  </si>
  <si>
    <t>Song 55</t>
  </si>
  <si>
    <t>Song 56</t>
  </si>
  <si>
    <t>Song 57</t>
  </si>
  <si>
    <t>Song 58</t>
  </si>
  <si>
    <t>Song 59</t>
  </si>
  <si>
    <t>Song 60</t>
  </si>
  <si>
    <t>Song 61</t>
  </si>
  <si>
    <t>Song 62</t>
  </si>
  <si>
    <t>Song 63</t>
  </si>
  <si>
    <t>Song 64</t>
  </si>
  <si>
    <t>Song 65</t>
  </si>
  <si>
    <t>Song 66</t>
  </si>
  <si>
    <t>Song 67</t>
  </si>
  <si>
    <t>Song 68</t>
  </si>
  <si>
    <t>Song 69</t>
  </si>
  <si>
    <t>Song 70</t>
  </si>
  <si>
    <t>Song 71</t>
  </si>
  <si>
    <t>Song 72</t>
  </si>
  <si>
    <t>Song 73</t>
  </si>
  <si>
    <t>Song 74</t>
  </si>
  <si>
    <t>Song 75</t>
  </si>
  <si>
    <t>Song 76</t>
  </si>
  <si>
    <t>Song 77</t>
  </si>
  <si>
    <t>Song 78</t>
  </si>
  <si>
    <t>Song 79</t>
  </si>
  <si>
    <t>Song 80</t>
  </si>
  <si>
    <t>Song 81</t>
  </si>
  <si>
    <t>Song 82</t>
  </si>
  <si>
    <t>Song 83</t>
  </si>
  <si>
    <t>Song 84</t>
  </si>
  <si>
    <t>Song 85</t>
  </si>
  <si>
    <t>Song 86</t>
  </si>
  <si>
    <t>Song 87</t>
  </si>
  <si>
    <t>Song 88</t>
  </si>
  <si>
    <t>Song 89</t>
  </si>
  <si>
    <t>Song 90</t>
  </si>
  <si>
    <t>Song 91</t>
  </si>
  <si>
    <t>Song 92</t>
  </si>
  <si>
    <t>Song 93</t>
  </si>
  <si>
    <t>Song 94</t>
  </si>
  <si>
    <t>Song 95</t>
  </si>
  <si>
    <t>Song 96</t>
  </si>
  <si>
    <t>Song 97</t>
  </si>
  <si>
    <t>Song 98</t>
  </si>
  <si>
    <t>Song 99</t>
  </si>
  <si>
    <t>Song 100</t>
  </si>
  <si>
    <t>Release Date</t>
  </si>
  <si>
    <t>Spotify Streams Millions</t>
  </si>
  <si>
    <t>Popularity Score</t>
  </si>
  <si>
    <t>Duration Seconds</t>
  </si>
  <si>
    <t>Realese Year</t>
  </si>
  <si>
    <t>SUM of Spotify Streams Millions</t>
  </si>
  <si>
    <t>Grand Total</t>
  </si>
  <si>
    <t>AVERAGE of Popularity_Score</t>
  </si>
  <si>
    <t>Realese_Year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</si>
</sst>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0" fillId="0" fontId="3" numFmtId="0" xfId="0" applyAlignment="1" applyFont="1">
      <alignment horizontal="right"/>
    </xf>
    <xf borderId="0" fillId="2" fontId="4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Overview by Genre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Tables'!$B$3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Tables'!$A$4:$A$12</c:f>
            </c:strRef>
          </c:cat>
          <c:val>
            <c:numRef>
              <c:f>'Pivot Tables'!$B$4:$B$12</c:f>
              <c:numCache/>
            </c:numRef>
          </c:val>
        </c:ser>
        <c:axId val="1473512237"/>
        <c:axId val="1975272889"/>
      </c:barChart>
      <c:catAx>
        <c:axId val="1473512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layout>
            <c:manualLayout>
              <c:xMode val="edge"/>
              <c:yMode val="edge"/>
              <c:x val="0.07870479130244756"/>
              <c:y val="0.918838526912181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272889"/>
      </c:catAx>
      <c:valAx>
        <c:axId val="1975272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Spotify Streams Millions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512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Trend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Tables'!$B$21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'Pivot Tables'!$A$22:$A$23</c:f>
            </c:strRef>
          </c:cat>
          <c:val>
            <c:numRef>
              <c:f>'Pivot Tables'!$B$22:$B$23</c:f>
              <c:numCache/>
            </c:numRef>
          </c:val>
        </c:ser>
        <c:ser>
          <c:idx val="1"/>
          <c:order val="1"/>
          <c:tx>
            <c:strRef>
              <c:f>'Pivot Tables'!$D$21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'Pivot Tables'!$A$22:$A$23</c:f>
            </c:strRef>
          </c:cat>
          <c:val>
            <c:numRef>
              <c:f>'Pivot Tables'!$D$22:$D$23</c:f>
              <c:numCache/>
            </c:numRef>
          </c:val>
        </c:ser>
        <c:ser>
          <c:idx val="2"/>
          <c:order val="2"/>
          <c:tx>
            <c:strRef>
              <c:f>'Pivot Tables'!$E$21</c:f>
            </c:strRef>
          </c:tx>
          <c:spPr>
            <a:solidFill>
              <a:srgbClr val="FCE5C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'Pivot Tables'!$A$22:$A$23</c:f>
            </c:strRef>
          </c:cat>
          <c:val>
            <c:numRef>
              <c:f>'Pivot Tables'!$E$22:$E$23</c:f>
              <c:numCache/>
            </c:numRef>
          </c:val>
        </c:ser>
        <c:axId val="522806073"/>
        <c:axId val="271735984"/>
      </c:barChart>
      <c:catAx>
        <c:axId val="522806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Realese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735984"/>
      </c:catAx>
      <c:valAx>
        <c:axId val="271735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Spotify Streams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806073"/>
      </c:valAx>
    </c:plotArea>
    <c:legend>
      <c:legendPos val="r"/>
      <c:layout>
        <c:manualLayout>
          <c:xMode val="edge"/>
          <c:yMode val="edge"/>
          <c:x val="0.8418111979166667"/>
          <c:y val="0.363656783468104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Explicit vs Non-Explicit Streams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Tables'!$A$50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'Pivot Tables'!$B$49:$J$49</c:f>
            </c:strRef>
          </c:cat>
          <c:val>
            <c:numRef>
              <c:f>'Pivot Tables'!$B$50:$J$50</c:f>
              <c:numCache/>
            </c:numRef>
          </c:val>
        </c:ser>
        <c:ser>
          <c:idx val="1"/>
          <c:order val="1"/>
          <c:tx>
            <c:strRef>
              <c:f>'Pivot Tables'!$A$51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8"/>
          </c:dPt>
          <c:cat>
            <c:strRef>
              <c:f>'Pivot Tables'!$B$49:$J$49</c:f>
            </c:strRef>
          </c:cat>
          <c:val>
            <c:numRef>
              <c:f>'Pivot Tables'!$B$51:$J$51</c:f>
              <c:numCache/>
            </c:numRef>
          </c:val>
        </c:ser>
        <c:overlap val="100"/>
        <c:axId val="278265731"/>
        <c:axId val="188982535"/>
      </c:barChart>
      <c:catAx>
        <c:axId val="278265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82535"/>
      </c:catAx>
      <c:valAx>
        <c:axId val="188982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Spotify Streams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265731"/>
      </c:valAx>
    </c:plotArea>
    <c:legend>
      <c:legendPos val="r"/>
      <c:layout>
        <c:manualLayout>
          <c:xMode val="edge"/>
          <c:yMode val="edge"/>
          <c:x val="0.9014563802083334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0</xdr:row>
      <xdr:rowOff>133350</xdr:rowOff>
    </xdr:from>
    <xdr:ext cx="561975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457200</xdr:colOff>
      <xdr:row>24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666750</xdr:colOff>
      <xdr:row>52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714375</xdr:colOff>
      <xdr:row>79</xdr:row>
      <xdr:rowOff>47625</xdr:rowOff>
    </xdr:from>
    <xdr:ext cx="5715000" cy="3533775"/>
    <xdr:pic>
      <xdr:nvPicPr>
        <xdr:cNvPr id="200075627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Clean Data"/>
  </cacheSource>
  <cacheFields>
    <cacheField name="Artist" numFmtId="0">
      <sharedItems>
        <s v="Taylor Swift"/>
        <s v="Travis Scott"/>
        <s v="Ed Sheeran"/>
        <s v="Doja Cat"/>
        <s v="Imagine Dragons"/>
        <s v="Justin Bieber"/>
        <s v="Rihanna"/>
        <s v="Drake"/>
        <s v="Bad Bunny"/>
        <s v="Olivia Rodrigo"/>
        <s v="Post Malone"/>
        <s v="Billie Eilish"/>
        <s v="Bruno Mars"/>
        <s v="The Weeknd"/>
        <s v="SZA"/>
        <s v="BTS"/>
        <s v="Ariana Grande"/>
        <s v="Kanye West"/>
        <s v="Coldplay"/>
        <s v="Dua Lipa"/>
      </sharedItems>
    </cacheField>
    <cacheField name="Genre" numFmtId="0">
      <sharedItems>
        <s v="Latin"/>
        <s v="Pop"/>
        <s v="Afrobeats"/>
        <s v="Electronic"/>
        <s v="Hip-Hop"/>
        <s v="R&amp;B"/>
        <s v="Indie"/>
        <s v="K-Pop"/>
        <s v="Rock"/>
      </sharedItems>
    </cacheField>
    <cacheField name="Release Date" numFmtId="164">
      <sharedItems containsSemiMixedTypes="0" containsDate="1" containsString="0">
        <d v="2023-11-12T00:00:00Z"/>
        <d v="2024-10-20T00:00:00Z"/>
        <d v="2023-04-23T00:00:00Z"/>
        <d v="2023-05-21T00:00:00Z"/>
        <d v="2023-03-29T00:00:00Z"/>
        <d v="2023-03-10T00:00:00Z"/>
        <d v="2024-10-22T00:00:00Z"/>
        <d v="2023-05-09T00:00:00Z"/>
        <d v="2023-09-07T00:00:00Z"/>
        <d v="2023-02-28T00:00:00Z"/>
        <d v="2024-09-28T00:00:00Z"/>
        <d v="2024-04-22T00:00:00Z"/>
        <d v="2023-11-20T00:00:00Z"/>
        <d v="2023-08-31T00:00:00Z"/>
        <d v="2024-01-12T00:00:00Z"/>
        <d v="2023-06-24T00:00:00Z"/>
        <d v="2024-10-30T00:00:00Z"/>
        <d v="2023-03-31T00:00:00Z"/>
        <d v="2023-05-05T00:00:00Z"/>
        <d v="2024-09-17T00:00:00Z"/>
        <d v="2024-03-07T00:00:00Z"/>
        <d v="2023-03-30T00:00:00Z"/>
        <d v="2024-02-24T00:00:00Z"/>
        <d v="2023-03-27T00:00:00Z"/>
        <d v="2023-08-30T00:00:00Z"/>
        <d v="2024-06-27T00:00:00Z"/>
        <d v="2024-07-22T00:00:00Z"/>
        <d v="2023-02-27T00:00:00Z"/>
        <d v="2024-08-15T00:00:00Z"/>
        <d v="2024-10-04T00:00:00Z"/>
        <d v="2023-10-25T00:00:00Z"/>
        <d v="2024-06-06T00:00:00Z"/>
        <d v="2023-11-07T00:00:00Z"/>
        <d v="2024-05-10T00:00:00Z"/>
        <d v="2024-06-04T00:00:00Z"/>
        <d v="2024-05-02T00:00:00Z"/>
        <d v="2024-05-06T00:00:00Z"/>
        <d v="2024-08-07T00:00:00Z"/>
        <d v="2023-12-01T00:00:00Z"/>
        <d v="2023-09-19T00:00:00Z"/>
        <d v="2024-11-24T00:00:00Z"/>
        <d v="2024-11-27T00:00:00Z"/>
        <d v="2023-02-15T00:00:00Z"/>
        <d v="2023-05-03T00:00:00Z"/>
        <d v="2023-07-06T00:00:00Z"/>
        <d v="2023-07-04T00:00:00Z"/>
        <d v="2024-03-08T00:00:00Z"/>
        <d v="2023-12-15T00:00:00Z"/>
        <d v="2024-06-13T00:00:00Z"/>
        <d v="2024-02-06T00:00:00Z"/>
        <d v="2023-12-07T00:00:00Z"/>
        <d v="2023-12-09T00:00:00Z"/>
        <d v="2024-11-09T00:00:00Z"/>
        <d v="2023-05-04T00:00:00Z"/>
        <d v="2023-11-19T00:00:00Z"/>
        <d v="2023-12-18T00:00:00Z"/>
        <d v="2024-02-21T00:00:00Z"/>
        <d v="2024-10-13T00:00:00Z"/>
        <d v="2024-09-15T00:00:00Z"/>
        <d v="2024-09-03T00:00:00Z"/>
        <d v="2024-05-29T00:00:00Z"/>
        <d v="2023-09-20T00:00:00Z"/>
        <d v="2024-08-08T00:00:00Z"/>
        <d v="2023-05-01T00:00:00Z"/>
        <d v="2024-03-23T00:00:00Z"/>
        <d v="2024-07-06T00:00:00Z"/>
        <d v="2024-07-07T00:00:00Z"/>
        <d v="2023-12-30T00:00:00Z"/>
        <d v="2024-09-24T00:00:00Z"/>
        <d v="2023-12-06T00:00:00Z"/>
        <d v="2023-09-01T00:00:00Z"/>
        <d v="2023-05-17T00:00:00Z"/>
        <d v="2023-06-12T00:00:00Z"/>
        <d v="2024-11-13T00:00:00Z"/>
        <d v="2024-06-18T00:00:00Z"/>
        <d v="2023-10-06T00:00:00Z"/>
        <d v="2023-09-15T00:00:00Z"/>
        <d v="2023-11-21T00:00:00Z"/>
        <d v="2023-10-14T00:00:00Z"/>
        <d v="2024-10-10T00:00:00Z"/>
        <d v="2024-05-30T00:00:00Z"/>
        <d v="2024-03-22T00:00:00Z"/>
        <d v="2024-09-13T00:00:00Z"/>
        <d v="2023-03-06T00:00:00Z"/>
        <d v="2024-05-17T00:00:00Z"/>
        <d v="2024-04-13T00:00:00Z"/>
        <d v="2023-09-05T00:00:00Z"/>
        <d v="2024-01-17T00:00:00Z"/>
        <d v="2023-12-04T00:00:00Z"/>
        <d v="2024-05-07T00:00:00Z"/>
        <d v="2023-08-27T00:00:00Z"/>
        <d v="2024-06-28T00:00:00Z"/>
        <d v="2023-06-14T00:00:00Z"/>
        <d v="2024-01-09T00:00:00Z"/>
        <d v="2024-06-24T00:00:00Z"/>
      </sharedItems>
    </cacheField>
    <cacheField name="Spotify Streams Millions" numFmtId="0">
      <sharedItems containsSemiMixedTypes="0" containsString="0" containsNumber="1">
        <n v="1686.11"/>
        <n v="654.74"/>
        <n v="1739.75"/>
        <n v="924.5"/>
        <n v="833.8"/>
        <n v="266.11"/>
        <n v="277.56"/>
        <n v="1477.73"/>
        <n v="616.7"/>
        <n v="938.7"/>
        <n v="302.83"/>
        <n v="497.69"/>
        <n v="966.21"/>
        <n v="978.68"/>
        <n v="1094.13"/>
        <n v="1125.11"/>
        <n v="1160.69"/>
        <n v="757.02"/>
        <n v="1314.77"/>
        <n v="688.66"/>
        <n v="1289.99"/>
        <n v="618.6"/>
        <n v="1001.25"/>
        <n v="1768.29"/>
        <n v="231.54"/>
        <n v="265.7"/>
        <n v="1009.7"/>
        <n v="1639.67"/>
        <n v="1495.26"/>
        <n v="480.33"/>
        <n v="1379.83"/>
        <n v="1776.59"/>
        <n v="777.78"/>
        <n v="977.55"/>
        <n v="801.7"/>
        <n v="1393.52"/>
        <n v="852.81"/>
        <n v="1353.88"/>
        <n v="580.94"/>
        <n v="574.1"/>
        <n v="562.47"/>
        <n v="261.13"/>
        <n v="949.72"/>
        <n v="1764.7"/>
        <n v="367.83"/>
        <n v="586.39"/>
        <n v="1639.41"/>
        <n v="581.52"/>
        <n v="1613.2"/>
        <n v="671.48"/>
        <n v="1108.23"/>
        <n v="1239.4"/>
        <n v="1603.6"/>
        <n v="809.42"/>
        <n v="211.96"/>
        <n v="1053.25"/>
        <n v="1791.49"/>
        <n v="1595.19"/>
        <n v="1099.71"/>
        <n v="1248.03"/>
        <n v="1604.35"/>
        <n v="1517.33"/>
        <n v="946.23"/>
        <n v="372.17"/>
        <n v="494.34"/>
        <n v="1514.03"/>
        <n v="1205.22"/>
        <n v="1306.82"/>
        <n v="834.89"/>
        <n v="325.88"/>
        <n v="1777.04"/>
        <n v="1355.43"/>
        <n v="1068.46"/>
        <n v="1756.35"/>
        <n v="684.48"/>
        <n v="1648.53"/>
        <n v="1513.24"/>
        <n v="1340.8"/>
        <n v="1015.7"/>
        <n v="221.93"/>
        <n v="759.23"/>
        <n v="1474.57"/>
        <n v="1158.72"/>
        <n v="851.44"/>
        <n v="1211.0"/>
        <n v="1453.5"/>
        <n v="1261.93"/>
        <n v="1011.72"/>
        <n v="975.67"/>
        <n v="311.35"/>
        <n v="265.47"/>
        <n v="172.8"/>
        <n v="1262.27"/>
        <n v="1018.8"/>
        <n v="665.78"/>
        <n v="984.96"/>
        <n v="768.59"/>
        <n v="1409.08"/>
        <n v="976.79"/>
        <n v="1596.93"/>
      </sharedItems>
    </cacheField>
    <cacheField name="Popularity Score" numFmtId="0">
      <sharedItems containsSemiMixedTypes="0" containsString="0" containsNumber="1" containsInteger="1">
        <n v="79.0"/>
        <n v="87.0"/>
        <n v="99.0"/>
        <n v="66.0"/>
        <n v="72.0"/>
        <n v="96.0"/>
        <n v="97.0"/>
        <n v="63.0"/>
        <n v="74.0"/>
        <n v="71.0"/>
        <n v="100.0"/>
        <n v="89.0"/>
        <n v="67.0"/>
        <n v="62.0"/>
        <n v="65.0"/>
        <n v="77.0"/>
        <n v="70.0"/>
        <n v="78.0"/>
        <n v="60.0"/>
        <n v="88.0"/>
        <n v="68.0"/>
        <n v="64.0"/>
        <n v="80.0"/>
        <n v="92.0"/>
        <n v="95.0"/>
        <n v="73.0"/>
        <n v="93.0"/>
        <n v="98.0"/>
        <n v="84.0"/>
        <n v="94.0"/>
        <n v="82.0"/>
        <n v="90.0"/>
        <n v="81.0"/>
        <n v="69.0"/>
        <n v="85.0"/>
        <n v="75.0"/>
        <n v="76.0"/>
        <n v="61.0"/>
        <n v="83.0"/>
      </sharedItems>
    </cacheField>
    <cacheField name="Duration Seconds" numFmtId="0">
      <sharedItems containsSemiMixedTypes="0" containsString="0" containsNumber="1" containsInteger="1">
        <n v="282.0"/>
        <n v="144.0"/>
        <n v="200.0"/>
        <n v="293.0"/>
        <n v="137.0"/>
        <n v="176.0"/>
        <n v="249.0"/>
        <n v="224.0"/>
        <n v="229.0"/>
        <n v="266.0"/>
        <n v="239.0"/>
        <n v="187.0"/>
        <n v="279.0"/>
        <n v="135.0"/>
        <n v="145.0"/>
        <n v="143.0"/>
        <n v="163.0"/>
        <n v="248.0"/>
        <n v="127.0"/>
        <n v="134.0"/>
        <n v="193.0"/>
        <n v="180.0"/>
        <n v="286.0"/>
        <n v="155.0"/>
        <n v="139.0"/>
        <n v="149.0"/>
        <n v="243.0"/>
        <n v="218.0"/>
        <n v="136.0"/>
        <n v="242.0"/>
        <n v="244.0"/>
        <n v="212.0"/>
        <n v="125.0"/>
        <n v="157.0"/>
        <n v="128.0"/>
        <n v="188.0"/>
        <n v="138.0"/>
        <n v="151.0"/>
        <n v="222.0"/>
        <n v="267.0"/>
        <n v="228.0"/>
        <n v="241.0"/>
        <n v="232.0"/>
        <n v="190.0"/>
        <n v="260.0"/>
        <n v="126.0"/>
        <n v="273.0"/>
        <n v="245.0"/>
        <n v="252.0"/>
        <n v="204.0"/>
        <n v="275.0"/>
        <n v="240.0"/>
        <n v="213.0"/>
        <n v="258.0"/>
        <n v="281.0"/>
        <n v="235.0"/>
        <n v="220.0"/>
        <n v="254.0"/>
        <n v="179.0"/>
        <n v="284.0"/>
        <n v="216.0"/>
        <n v="142.0"/>
        <n v="160.0"/>
        <n v="170.0"/>
        <n v="150.0"/>
        <n v="288.0"/>
        <n v="181.0"/>
        <n v="296.0"/>
        <n v="205.0"/>
        <n v="148.0"/>
        <n v="207.0"/>
        <n v="166.0"/>
        <n v="223.0"/>
        <n v="169.0"/>
        <n v="124.0"/>
        <n v="120.0"/>
        <n v="140.0"/>
        <n v="265.0"/>
        <n v="230.0"/>
      </sharedItems>
    </cacheField>
    <cacheField name="Explicit" numFmtId="0">
      <sharedItems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1" sheet="Clean Data"/>
  </cacheSource>
  <cacheFields>
    <cacheField name="Artist" numFmtId="0">
      <sharedItems>
        <s v="Taylor Swift"/>
        <s v="Travis Scott"/>
        <s v="Ed Sheeran"/>
        <s v="Doja Cat"/>
        <s v="Imagine Dragons"/>
        <s v="Justin Bieber"/>
        <s v="Rihanna"/>
        <s v="Drake"/>
        <s v="Bad Bunny"/>
        <s v="Olivia Rodrigo"/>
        <s v="Post Malone"/>
        <s v="Billie Eilish"/>
        <s v="Bruno Mars"/>
        <s v="The Weeknd"/>
        <s v="SZA"/>
        <s v="BTS"/>
        <s v="Ariana Grande"/>
        <s v="Kanye West"/>
        <s v="Coldplay"/>
        <s v="Dua Lipa"/>
      </sharedItems>
    </cacheField>
    <cacheField name="Genre" numFmtId="0">
      <sharedItems>
        <s v="Latin"/>
        <s v="Pop"/>
        <s v="Afrobeats"/>
        <s v="Electronic"/>
        <s v="Hip-Hop"/>
        <s v="R&amp;B"/>
        <s v="Indie"/>
        <s v="K-Pop"/>
        <s v="Rock"/>
      </sharedItems>
    </cacheField>
    <cacheField name="Release Date" numFmtId="164">
      <sharedItems containsSemiMixedTypes="0" containsDate="1" containsString="0">
        <d v="2023-11-12T00:00:00Z"/>
        <d v="2024-10-20T00:00:00Z"/>
        <d v="2023-04-23T00:00:00Z"/>
        <d v="2023-05-21T00:00:00Z"/>
        <d v="2023-03-29T00:00:00Z"/>
        <d v="2023-03-10T00:00:00Z"/>
        <d v="2024-10-22T00:00:00Z"/>
        <d v="2023-05-09T00:00:00Z"/>
        <d v="2023-09-07T00:00:00Z"/>
        <d v="2023-02-28T00:00:00Z"/>
        <d v="2024-09-28T00:00:00Z"/>
        <d v="2024-04-22T00:00:00Z"/>
        <d v="2023-11-20T00:00:00Z"/>
        <d v="2023-08-31T00:00:00Z"/>
        <d v="2024-01-12T00:00:00Z"/>
        <d v="2023-06-24T00:00:00Z"/>
        <d v="2024-10-30T00:00:00Z"/>
        <d v="2023-03-31T00:00:00Z"/>
        <d v="2023-05-05T00:00:00Z"/>
        <d v="2024-09-17T00:00:00Z"/>
        <d v="2024-03-07T00:00:00Z"/>
        <d v="2023-03-30T00:00:00Z"/>
        <d v="2024-02-24T00:00:00Z"/>
        <d v="2023-03-27T00:00:00Z"/>
        <d v="2023-08-30T00:00:00Z"/>
        <d v="2024-06-27T00:00:00Z"/>
        <d v="2024-07-22T00:00:00Z"/>
        <d v="2023-02-27T00:00:00Z"/>
        <d v="2024-08-15T00:00:00Z"/>
        <d v="2024-10-04T00:00:00Z"/>
        <d v="2023-10-25T00:00:00Z"/>
        <d v="2024-06-06T00:00:00Z"/>
        <d v="2023-11-07T00:00:00Z"/>
        <d v="2024-05-10T00:00:00Z"/>
        <d v="2024-06-04T00:00:00Z"/>
        <d v="2024-05-02T00:00:00Z"/>
        <d v="2024-05-06T00:00:00Z"/>
        <d v="2024-08-07T00:00:00Z"/>
        <d v="2023-12-01T00:00:00Z"/>
        <d v="2023-09-19T00:00:00Z"/>
        <d v="2024-11-24T00:00:00Z"/>
        <d v="2024-11-27T00:00:00Z"/>
        <d v="2023-02-15T00:00:00Z"/>
        <d v="2023-05-03T00:00:00Z"/>
        <d v="2023-07-06T00:00:00Z"/>
        <d v="2023-07-04T00:00:00Z"/>
        <d v="2024-03-08T00:00:00Z"/>
        <d v="2023-12-15T00:00:00Z"/>
        <d v="2024-06-13T00:00:00Z"/>
        <d v="2024-02-06T00:00:00Z"/>
        <d v="2023-12-07T00:00:00Z"/>
        <d v="2023-12-09T00:00:00Z"/>
        <d v="2024-11-09T00:00:00Z"/>
        <d v="2023-05-04T00:00:00Z"/>
        <d v="2023-11-19T00:00:00Z"/>
        <d v="2023-12-18T00:00:00Z"/>
        <d v="2024-02-21T00:00:00Z"/>
        <d v="2024-10-13T00:00:00Z"/>
        <d v="2024-09-15T00:00:00Z"/>
        <d v="2024-09-03T00:00:00Z"/>
        <d v="2024-05-29T00:00:00Z"/>
        <d v="2023-09-20T00:00:00Z"/>
        <d v="2024-08-08T00:00:00Z"/>
        <d v="2023-05-01T00:00:00Z"/>
        <d v="2024-03-23T00:00:00Z"/>
        <d v="2024-07-06T00:00:00Z"/>
        <d v="2024-07-07T00:00:00Z"/>
        <d v="2023-12-30T00:00:00Z"/>
        <d v="2024-09-24T00:00:00Z"/>
        <d v="2023-12-06T00:00:00Z"/>
        <d v="2023-09-01T00:00:00Z"/>
        <d v="2023-05-17T00:00:00Z"/>
        <d v="2023-06-12T00:00:00Z"/>
        <d v="2024-11-13T00:00:00Z"/>
        <d v="2024-06-18T00:00:00Z"/>
        <d v="2023-10-06T00:00:00Z"/>
        <d v="2023-09-15T00:00:00Z"/>
        <d v="2023-11-21T00:00:00Z"/>
        <d v="2023-10-14T00:00:00Z"/>
        <d v="2024-10-10T00:00:00Z"/>
        <d v="2024-05-30T00:00:00Z"/>
        <d v="2024-03-22T00:00:00Z"/>
        <d v="2024-09-13T00:00:00Z"/>
        <d v="2023-03-06T00:00:00Z"/>
        <d v="2024-05-17T00:00:00Z"/>
        <d v="2024-04-13T00:00:00Z"/>
        <d v="2023-09-05T00:00:00Z"/>
        <d v="2024-01-17T00:00:00Z"/>
        <d v="2023-12-04T00:00:00Z"/>
        <d v="2024-05-07T00:00:00Z"/>
        <d v="2023-08-27T00:00:00Z"/>
        <d v="2024-06-28T00:00:00Z"/>
        <d v="2023-06-14T00:00:00Z"/>
        <d v="2024-01-09T00:00:00Z"/>
        <d v="2024-06-24T00:00:00Z"/>
      </sharedItems>
    </cacheField>
    <cacheField name="Spotify Streams Millions" numFmtId="0">
      <sharedItems containsSemiMixedTypes="0" containsString="0" containsNumber="1">
        <n v="1686.11"/>
        <n v="654.74"/>
        <n v="1739.75"/>
        <n v="924.5"/>
        <n v="833.8"/>
        <n v="266.11"/>
        <n v="277.56"/>
        <n v="1477.73"/>
        <n v="616.7"/>
        <n v="938.7"/>
        <n v="302.83"/>
        <n v="497.69"/>
        <n v="966.21"/>
        <n v="978.68"/>
        <n v="1094.13"/>
        <n v="1125.11"/>
        <n v="1160.69"/>
        <n v="757.02"/>
        <n v="1314.77"/>
        <n v="688.66"/>
        <n v="1289.99"/>
        <n v="618.6"/>
        <n v="1001.25"/>
        <n v="1768.29"/>
        <n v="231.54"/>
        <n v="265.7"/>
        <n v="1009.7"/>
        <n v="1639.67"/>
        <n v="1495.26"/>
        <n v="480.33"/>
        <n v="1379.83"/>
        <n v="1776.59"/>
        <n v="777.78"/>
        <n v="977.55"/>
        <n v="801.7"/>
        <n v="1393.52"/>
        <n v="852.81"/>
        <n v="1353.88"/>
        <n v="580.94"/>
        <n v="574.1"/>
        <n v="562.47"/>
        <n v="261.13"/>
        <n v="949.72"/>
        <n v="1764.7"/>
        <n v="367.83"/>
        <n v="586.39"/>
        <n v="1639.41"/>
        <n v="581.52"/>
        <n v="1613.2"/>
        <n v="671.48"/>
        <n v="1108.23"/>
        <n v="1239.4"/>
        <n v="1603.6"/>
        <n v="809.42"/>
        <n v="211.96"/>
        <n v="1053.25"/>
        <n v="1791.49"/>
        <n v="1595.19"/>
        <n v="1099.71"/>
        <n v="1248.03"/>
        <n v="1604.35"/>
        <n v="1517.33"/>
        <n v="946.23"/>
        <n v="372.17"/>
        <n v="494.34"/>
        <n v="1514.03"/>
        <n v="1205.22"/>
        <n v="1306.82"/>
        <n v="834.89"/>
        <n v="325.88"/>
        <n v="1777.04"/>
        <n v="1355.43"/>
        <n v="1068.46"/>
        <n v="1756.35"/>
        <n v="684.48"/>
        <n v="1648.53"/>
        <n v="1513.24"/>
        <n v="1340.8"/>
        <n v="1015.7"/>
        <n v="221.93"/>
        <n v="759.23"/>
        <n v="1474.57"/>
        <n v="1158.72"/>
        <n v="851.44"/>
        <n v="1211.0"/>
        <n v="1453.5"/>
        <n v="1261.93"/>
        <n v="1011.72"/>
        <n v="975.67"/>
        <n v="311.35"/>
        <n v="265.47"/>
        <n v="172.8"/>
        <n v="1262.27"/>
        <n v="1018.8"/>
        <n v="665.78"/>
        <n v="984.96"/>
        <n v="768.59"/>
        <n v="1409.08"/>
        <n v="976.79"/>
        <n v="1596.93"/>
      </sharedItems>
    </cacheField>
    <cacheField name="Popularity Score" numFmtId="0">
      <sharedItems containsSemiMixedTypes="0" containsString="0" containsNumber="1" containsInteger="1">
        <n v="79.0"/>
        <n v="87.0"/>
        <n v="99.0"/>
        <n v="66.0"/>
        <n v="72.0"/>
        <n v="96.0"/>
        <n v="97.0"/>
        <n v="63.0"/>
        <n v="74.0"/>
        <n v="71.0"/>
        <n v="100.0"/>
        <n v="89.0"/>
        <n v="67.0"/>
        <n v="62.0"/>
        <n v="65.0"/>
        <n v="77.0"/>
        <n v="70.0"/>
        <n v="78.0"/>
        <n v="60.0"/>
        <n v="88.0"/>
        <n v="68.0"/>
        <n v="64.0"/>
        <n v="80.0"/>
        <n v="92.0"/>
        <n v="95.0"/>
        <n v="73.0"/>
        <n v="93.0"/>
        <n v="98.0"/>
        <n v="84.0"/>
        <n v="94.0"/>
        <n v="82.0"/>
        <n v="90.0"/>
        <n v="81.0"/>
        <n v="69.0"/>
        <n v="85.0"/>
        <n v="75.0"/>
        <n v="76.0"/>
        <n v="61.0"/>
        <n v="83.0"/>
      </sharedItems>
    </cacheField>
    <cacheField name="Duration Seconds" numFmtId="0">
      <sharedItems containsSemiMixedTypes="0" containsString="0" containsNumber="1" containsInteger="1">
        <n v="282.0"/>
        <n v="144.0"/>
        <n v="200.0"/>
        <n v="293.0"/>
        <n v="137.0"/>
        <n v="176.0"/>
        <n v="249.0"/>
        <n v="224.0"/>
        <n v="229.0"/>
        <n v="266.0"/>
        <n v="239.0"/>
        <n v="187.0"/>
        <n v="279.0"/>
        <n v="135.0"/>
        <n v="145.0"/>
        <n v="143.0"/>
        <n v="163.0"/>
        <n v="248.0"/>
        <n v="127.0"/>
        <n v="134.0"/>
        <n v="193.0"/>
        <n v="180.0"/>
        <n v="286.0"/>
        <n v="155.0"/>
        <n v="139.0"/>
        <n v="149.0"/>
        <n v="243.0"/>
        <n v="218.0"/>
        <n v="136.0"/>
        <n v="242.0"/>
        <n v="244.0"/>
        <n v="212.0"/>
        <n v="125.0"/>
        <n v="157.0"/>
        <n v="128.0"/>
        <n v="188.0"/>
        <n v="138.0"/>
        <n v="151.0"/>
        <n v="222.0"/>
        <n v="267.0"/>
        <n v="228.0"/>
        <n v="241.0"/>
        <n v="232.0"/>
        <n v="190.0"/>
        <n v="260.0"/>
        <n v="126.0"/>
        <n v="273.0"/>
        <n v="245.0"/>
        <n v="252.0"/>
        <n v="204.0"/>
        <n v="275.0"/>
        <n v="240.0"/>
        <n v="213.0"/>
        <n v="258.0"/>
        <n v="281.0"/>
        <n v="235.0"/>
        <n v="220.0"/>
        <n v="254.0"/>
        <n v="179.0"/>
        <n v="284.0"/>
        <n v="216.0"/>
        <n v="142.0"/>
        <n v="160.0"/>
        <n v="170.0"/>
        <n v="150.0"/>
        <n v="288.0"/>
        <n v="181.0"/>
        <n v="296.0"/>
        <n v="205.0"/>
        <n v="148.0"/>
        <n v="207.0"/>
        <n v="166.0"/>
        <n v="223.0"/>
        <n v="169.0"/>
        <n v="124.0"/>
        <n v="120.0"/>
        <n v="140.0"/>
        <n v="265.0"/>
        <n v="230.0"/>
      </sharedItems>
    </cacheField>
    <cacheField name="Explicit" numFmtId="0">
      <sharedItems>
        <s v="No"/>
        <s v="Yes"/>
      </sharedItems>
    </cacheField>
    <cacheField name="Realese Year" numFmtId="0">
      <sharedItems containsSemiMixedTypes="0" containsString="0" containsNumber="1" containsInteger="1">
        <n v="2023.0"/>
        <n v="20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3:B13" firstHeaderRow="0" firstDataRow="1" firstDataCol="0"/>
  <pivotFields>
    <pivotField name="Art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r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potify Streams Mill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opularit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uration 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Explicit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Spotify Streams Millions" fld="3" baseField="0"/>
  </dataFields>
</pivotTableDefinition>
</file>

<file path=xl/pivotTables/pivotTable2.xml><?xml version="1.0" encoding="utf-8"?>
<pivotTableDefinition xmlns="http://schemas.openxmlformats.org/spreadsheetml/2006/main" name="Pivot Tables 2" cacheId="1" dataCaption="" colGrandTotals="0" compact="0" compactData="0">
  <location ref="A20:J24" firstHeaderRow="0" firstDataRow="1" firstDataCol="1"/>
  <pivotFields>
    <pivotField name="Art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re" axis="axisCol" compact="0" outline="0" multipleItemSelectionAllowed="1" showAll="0" sortType="ascending">
      <items>
        <item x="2"/>
        <item x="3"/>
        <item x="4"/>
        <item x="6"/>
        <item x="7"/>
        <item x="0"/>
        <item x="1"/>
        <item x="5"/>
        <item x="8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potify Streams Mill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opularit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uration 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Explicit" compact="0" outline="0" multipleItemSelectionAllowed="1" showAll="0">
      <items>
        <item x="0"/>
        <item x="1"/>
        <item t="default"/>
      </items>
    </pivotField>
    <pivotField name="Realese Year" axis="axisRow" compact="0" outline="0" multipleItemSelectionAllowed="1" showAll="0" sortType="ascending">
      <items>
        <item x="0"/>
        <item x="1"/>
        <item t="default"/>
      </items>
    </pivotField>
  </pivotFields>
  <rowFields>
    <field x="7"/>
  </rowFields>
  <colFields>
    <field x="1"/>
  </colFields>
  <dataFields>
    <dataField name="SUM of Spotify Streams Millions" fld="3" baseField="0"/>
  </dataFields>
</pivotTableDefinition>
</file>

<file path=xl/pivotTables/pivotTable3.xml><?xml version="1.0" encoding="utf-8"?>
<pivotTableDefinition xmlns="http://schemas.openxmlformats.org/spreadsheetml/2006/main" name="Pivot Tables 3" cacheId="1" dataCaption="" compact="0" compactData="0">
  <location ref="A48:K52" firstHeaderRow="0" firstDataRow="1" firstDataCol="1"/>
  <pivotFields>
    <pivotField name="Art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re" axis="axisCol" compact="0" outline="0" multipleItemSelectionAllowed="1" showAll="0" sortType="ascending">
      <items>
        <item x="2"/>
        <item x="3"/>
        <item x="4"/>
        <item x="6"/>
        <item x="7"/>
        <item x="0"/>
        <item x="1"/>
        <item x="5"/>
        <item x="8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potify Streams Mill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opularit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uration 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Explicit" axis="axisRow" compact="0" outline="0" multipleItemSelectionAllowed="1" showAll="0" sortType="ascending">
      <items>
        <item x="0"/>
        <item x="1"/>
        <item t="default"/>
      </items>
    </pivotField>
    <pivotField name="Realese Year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1"/>
  </colFields>
  <dataFields>
    <dataField name="SUM of Spotify Streams Million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1" t="s">
        <v>9</v>
      </c>
      <c r="C2" s="1" t="s">
        <v>10</v>
      </c>
      <c r="D2" s="1" t="s">
        <v>11</v>
      </c>
      <c r="E2" s="3">
        <v>45242.0</v>
      </c>
      <c r="F2" s="2">
        <v>1686.11</v>
      </c>
      <c r="G2" s="2">
        <v>79.0</v>
      </c>
      <c r="H2" s="2">
        <v>282.0</v>
      </c>
      <c r="I2" s="1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1" t="s">
        <v>13</v>
      </c>
      <c r="C3" s="1" t="s">
        <v>14</v>
      </c>
      <c r="D3" s="1" t="s">
        <v>15</v>
      </c>
      <c r="E3" s="3">
        <v>45585.0</v>
      </c>
      <c r="F3" s="2">
        <v>654.74</v>
      </c>
      <c r="G3" s="2">
        <v>87.0</v>
      </c>
      <c r="H3" s="2">
        <v>144.0</v>
      </c>
      <c r="I3" s="1" t="s">
        <v>16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1" t="s">
        <v>17</v>
      </c>
      <c r="C4" s="1" t="s">
        <v>18</v>
      </c>
      <c r="D4" s="1" t="s">
        <v>19</v>
      </c>
      <c r="E4" s="3">
        <v>45039.0</v>
      </c>
      <c r="F4" s="2">
        <v>1739.75</v>
      </c>
      <c r="G4" s="2">
        <v>99.0</v>
      </c>
      <c r="H4" s="2">
        <v>200.0</v>
      </c>
      <c r="I4" s="1" t="s">
        <v>16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1" t="s">
        <v>20</v>
      </c>
      <c r="C5" s="1" t="s">
        <v>21</v>
      </c>
      <c r="D5" s="1" t="s">
        <v>19</v>
      </c>
      <c r="E5" s="3">
        <v>45067.0</v>
      </c>
      <c r="F5" s="2">
        <v>924.5</v>
      </c>
      <c r="G5" s="2">
        <v>66.0</v>
      </c>
      <c r="H5" s="2">
        <v>282.0</v>
      </c>
      <c r="I5" s="1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1" t="s">
        <v>22</v>
      </c>
      <c r="C6" s="1" t="s">
        <v>23</v>
      </c>
      <c r="D6" s="1" t="s">
        <v>24</v>
      </c>
      <c r="E6" s="3">
        <v>45014.0</v>
      </c>
      <c r="F6" s="2">
        <v>833.8</v>
      </c>
      <c r="G6" s="2">
        <v>72.0</v>
      </c>
      <c r="H6" s="2">
        <v>293.0</v>
      </c>
      <c r="I6" s="1" t="s">
        <v>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6.0</v>
      </c>
      <c r="B7" s="1" t="s">
        <v>25</v>
      </c>
      <c r="C7" s="1" t="s">
        <v>26</v>
      </c>
      <c r="D7" s="1" t="s">
        <v>27</v>
      </c>
      <c r="E7" s="3">
        <v>44995.0</v>
      </c>
      <c r="F7" s="2">
        <v>266.11</v>
      </c>
      <c r="G7" s="2">
        <v>96.0</v>
      </c>
      <c r="H7" s="2">
        <v>137.0</v>
      </c>
      <c r="I7" s="1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7.0</v>
      </c>
      <c r="B8" s="1" t="s">
        <v>28</v>
      </c>
      <c r="C8" s="1" t="s">
        <v>29</v>
      </c>
      <c r="D8" s="1" t="s">
        <v>30</v>
      </c>
      <c r="E8" s="3">
        <v>45587.0</v>
      </c>
      <c r="F8" s="2">
        <v>277.56</v>
      </c>
      <c r="G8" s="2">
        <v>97.0</v>
      </c>
      <c r="H8" s="2">
        <v>176.0</v>
      </c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8.0</v>
      </c>
      <c r="B9" s="1" t="s">
        <v>31</v>
      </c>
      <c r="C9" s="1" t="s">
        <v>26</v>
      </c>
      <c r="D9" s="1" t="s">
        <v>32</v>
      </c>
      <c r="E9" s="3">
        <v>45055.0</v>
      </c>
      <c r="F9" s="2">
        <v>1477.73</v>
      </c>
      <c r="G9" s="2">
        <v>99.0</v>
      </c>
      <c r="H9" s="2">
        <v>249.0</v>
      </c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9.0</v>
      </c>
      <c r="B10" s="1" t="s">
        <v>33</v>
      </c>
      <c r="C10" s="1" t="s">
        <v>34</v>
      </c>
      <c r="D10" s="1" t="s">
        <v>35</v>
      </c>
      <c r="E10" s="3">
        <v>45176.0</v>
      </c>
      <c r="F10" s="2">
        <v>616.7</v>
      </c>
      <c r="G10" s="2">
        <v>63.0</v>
      </c>
      <c r="H10" s="2">
        <v>224.0</v>
      </c>
      <c r="I10" s="1" t="s">
        <v>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10.0</v>
      </c>
      <c r="B11" s="1" t="s">
        <v>36</v>
      </c>
      <c r="C11" s="1" t="s">
        <v>26</v>
      </c>
      <c r="D11" s="1" t="s">
        <v>15</v>
      </c>
      <c r="E11" s="3">
        <v>44985.0</v>
      </c>
      <c r="F11" s="2">
        <v>938.7</v>
      </c>
      <c r="G11" s="2">
        <v>74.0</v>
      </c>
      <c r="H11" s="2">
        <v>229.0</v>
      </c>
      <c r="I11" s="1" t="s">
        <v>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11.0</v>
      </c>
      <c r="B12" s="1" t="s">
        <v>37</v>
      </c>
      <c r="C12" s="1" t="s">
        <v>38</v>
      </c>
      <c r="D12" s="1" t="s">
        <v>27</v>
      </c>
      <c r="E12" s="3">
        <v>45563.0</v>
      </c>
      <c r="F12" s="2">
        <v>302.83</v>
      </c>
      <c r="G12" s="2">
        <v>71.0</v>
      </c>
      <c r="H12" s="2">
        <v>282.0</v>
      </c>
      <c r="I12" s="1" t="s">
        <v>16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12.0</v>
      </c>
      <c r="B13" s="1" t="s">
        <v>39</v>
      </c>
      <c r="C13" s="1" t="s">
        <v>38</v>
      </c>
      <c r="D13" s="1" t="s">
        <v>24</v>
      </c>
      <c r="E13" s="3">
        <v>45404.0</v>
      </c>
      <c r="F13" s="2">
        <v>497.69</v>
      </c>
      <c r="G13" s="2">
        <v>100.0</v>
      </c>
      <c r="H13" s="2">
        <v>266.0</v>
      </c>
      <c r="I13" s="1" t="s">
        <v>12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13.0</v>
      </c>
      <c r="B14" s="1" t="s">
        <v>40</v>
      </c>
      <c r="C14" s="1" t="s">
        <v>41</v>
      </c>
      <c r="D14" s="1" t="s">
        <v>24</v>
      </c>
      <c r="E14" s="3">
        <v>45250.0</v>
      </c>
      <c r="F14" s="2">
        <v>966.21</v>
      </c>
      <c r="G14" s="2">
        <v>89.0</v>
      </c>
      <c r="H14" s="2">
        <v>239.0</v>
      </c>
      <c r="I14" s="1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14.0</v>
      </c>
      <c r="B15" s="1" t="s">
        <v>42</v>
      </c>
      <c r="C15" s="1" t="s">
        <v>43</v>
      </c>
      <c r="D15" s="1" t="s">
        <v>24</v>
      </c>
      <c r="E15" s="3">
        <v>45169.0</v>
      </c>
      <c r="F15" s="2">
        <v>978.68</v>
      </c>
      <c r="G15" s="2">
        <v>67.0</v>
      </c>
      <c r="H15" s="2">
        <v>187.0</v>
      </c>
      <c r="I15" s="1" t="s">
        <v>12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15.0</v>
      </c>
      <c r="B16" s="1" t="s">
        <v>44</v>
      </c>
      <c r="C16" s="1" t="s">
        <v>10</v>
      </c>
      <c r="D16" s="1" t="s">
        <v>11</v>
      </c>
      <c r="E16" s="3">
        <v>45303.0</v>
      </c>
      <c r="F16" s="2">
        <v>1094.13</v>
      </c>
      <c r="G16" s="2">
        <v>71.0</v>
      </c>
      <c r="H16" s="2">
        <v>279.0</v>
      </c>
      <c r="I16" s="1" t="s">
        <v>12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16.0</v>
      </c>
      <c r="B17" s="1" t="s">
        <v>45</v>
      </c>
      <c r="C17" s="1" t="s">
        <v>46</v>
      </c>
      <c r="D17" s="1" t="s">
        <v>47</v>
      </c>
      <c r="E17" s="3">
        <v>45101.0</v>
      </c>
      <c r="F17" s="2">
        <v>1125.11</v>
      </c>
      <c r="G17" s="2">
        <v>62.0</v>
      </c>
      <c r="H17" s="2">
        <v>135.0</v>
      </c>
      <c r="I17" s="1" t="s">
        <v>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17.0</v>
      </c>
      <c r="B18" s="1" t="s">
        <v>48</v>
      </c>
      <c r="C18" s="1" t="s">
        <v>14</v>
      </c>
      <c r="D18" s="1" t="s">
        <v>30</v>
      </c>
      <c r="E18" s="3">
        <v>45595.0</v>
      </c>
      <c r="F18" s="2">
        <v>1160.69</v>
      </c>
      <c r="G18" s="2">
        <v>65.0</v>
      </c>
      <c r="H18" s="2">
        <v>145.0</v>
      </c>
      <c r="I18" s="1" t="s">
        <v>12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18.0</v>
      </c>
      <c r="B19" s="1" t="s">
        <v>49</v>
      </c>
      <c r="C19" s="1" t="s">
        <v>38</v>
      </c>
      <c r="D19" s="1" t="s">
        <v>19</v>
      </c>
      <c r="E19" s="3">
        <v>45016.0</v>
      </c>
      <c r="F19" s="2">
        <v>757.02</v>
      </c>
      <c r="G19" s="2">
        <v>77.0</v>
      </c>
      <c r="H19" s="2">
        <v>143.0</v>
      </c>
      <c r="I19" s="1" t="s">
        <v>16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19.0</v>
      </c>
      <c r="B20" s="1" t="s">
        <v>50</v>
      </c>
      <c r="C20" s="1" t="s">
        <v>18</v>
      </c>
      <c r="D20" s="1" t="s">
        <v>19</v>
      </c>
      <c r="E20" s="3">
        <v>45051.0</v>
      </c>
      <c r="F20" s="2">
        <v>1314.77</v>
      </c>
      <c r="G20" s="2">
        <v>100.0</v>
      </c>
      <c r="H20" s="2">
        <v>163.0</v>
      </c>
      <c r="I20" s="1" t="s">
        <v>16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20.0</v>
      </c>
      <c r="B21" s="1" t="s">
        <v>51</v>
      </c>
      <c r="C21" s="1" t="s">
        <v>52</v>
      </c>
      <c r="D21" s="1" t="s">
        <v>15</v>
      </c>
      <c r="E21" s="3">
        <v>45552.0</v>
      </c>
      <c r="F21" s="2">
        <v>688.66</v>
      </c>
      <c r="G21" s="2">
        <v>70.0</v>
      </c>
      <c r="H21" s="2">
        <v>248.0</v>
      </c>
      <c r="I21" s="1" t="s">
        <v>16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21.0</v>
      </c>
      <c r="B22" s="1" t="s">
        <v>53</v>
      </c>
      <c r="C22" s="1" t="s">
        <v>54</v>
      </c>
      <c r="D22" s="1" t="s">
        <v>27</v>
      </c>
      <c r="E22" s="3">
        <v>45358.0</v>
      </c>
      <c r="F22" s="2">
        <v>1289.99</v>
      </c>
      <c r="G22" s="2">
        <v>78.0</v>
      </c>
      <c r="H22" s="2">
        <v>127.0</v>
      </c>
      <c r="I22" s="1" t="s">
        <v>12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22.0</v>
      </c>
      <c r="B23" s="1" t="s">
        <v>55</v>
      </c>
      <c r="C23" s="1" t="s">
        <v>41</v>
      </c>
      <c r="D23" s="1" t="s">
        <v>24</v>
      </c>
      <c r="E23" s="3">
        <v>45015.0</v>
      </c>
      <c r="F23" s="2">
        <v>618.6</v>
      </c>
      <c r="G23" s="2">
        <v>77.0</v>
      </c>
      <c r="H23" s="2">
        <v>134.0</v>
      </c>
      <c r="I23" s="1" t="s">
        <v>16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23.0</v>
      </c>
      <c r="B24" s="1" t="s">
        <v>56</v>
      </c>
      <c r="C24" s="1" t="s">
        <v>57</v>
      </c>
      <c r="D24" s="1" t="s">
        <v>15</v>
      </c>
      <c r="E24" s="3">
        <v>45346.0</v>
      </c>
      <c r="F24" s="2">
        <v>1001.25</v>
      </c>
      <c r="G24" s="2">
        <v>60.0</v>
      </c>
      <c r="H24" s="2">
        <v>193.0</v>
      </c>
      <c r="I24" s="1" t="s">
        <v>16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24.0</v>
      </c>
      <c r="B25" s="1" t="s">
        <v>58</v>
      </c>
      <c r="C25" s="1" t="s">
        <v>38</v>
      </c>
      <c r="D25" s="1" t="s">
        <v>24</v>
      </c>
      <c r="E25" s="3">
        <v>45012.0</v>
      </c>
      <c r="F25" s="2">
        <v>1768.29</v>
      </c>
      <c r="G25" s="2">
        <v>63.0</v>
      </c>
      <c r="H25" s="2">
        <v>180.0</v>
      </c>
      <c r="I25" s="1" t="s">
        <v>12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25.0</v>
      </c>
      <c r="B26" s="1" t="s">
        <v>59</v>
      </c>
      <c r="C26" s="1" t="s">
        <v>21</v>
      </c>
      <c r="D26" s="1" t="s">
        <v>19</v>
      </c>
      <c r="E26" s="3">
        <v>45168.0</v>
      </c>
      <c r="F26" s="2">
        <v>231.54</v>
      </c>
      <c r="G26" s="2">
        <v>88.0</v>
      </c>
      <c r="H26" s="2">
        <v>200.0</v>
      </c>
      <c r="I26" s="1" t="s">
        <v>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26.0</v>
      </c>
      <c r="B27" s="1" t="s">
        <v>60</v>
      </c>
      <c r="C27" s="1" t="s">
        <v>21</v>
      </c>
      <c r="D27" s="1" t="s">
        <v>32</v>
      </c>
      <c r="E27" s="3">
        <v>45470.0</v>
      </c>
      <c r="F27" s="2">
        <v>265.7</v>
      </c>
      <c r="G27" s="2">
        <v>63.0</v>
      </c>
      <c r="H27" s="2">
        <v>286.0</v>
      </c>
      <c r="I27" s="1" t="s">
        <v>16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27.0</v>
      </c>
      <c r="B28" s="1" t="s">
        <v>61</v>
      </c>
      <c r="C28" s="1" t="s">
        <v>23</v>
      </c>
      <c r="D28" s="1" t="s">
        <v>32</v>
      </c>
      <c r="E28" s="3">
        <v>45495.0</v>
      </c>
      <c r="F28" s="2">
        <v>1009.7</v>
      </c>
      <c r="G28" s="2">
        <v>68.0</v>
      </c>
      <c r="H28" s="2">
        <v>155.0</v>
      </c>
      <c r="I28" s="1" t="s">
        <v>16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28.0</v>
      </c>
      <c r="B29" s="1" t="s">
        <v>62</v>
      </c>
      <c r="C29" s="1" t="s">
        <v>63</v>
      </c>
      <c r="D29" s="1" t="s">
        <v>47</v>
      </c>
      <c r="E29" s="3">
        <v>44984.0</v>
      </c>
      <c r="F29" s="2">
        <v>1639.67</v>
      </c>
      <c r="G29" s="2">
        <v>62.0</v>
      </c>
      <c r="H29" s="2">
        <v>139.0</v>
      </c>
      <c r="I29" s="1" t="s">
        <v>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29.0</v>
      </c>
      <c r="B30" s="1" t="s">
        <v>64</v>
      </c>
      <c r="C30" s="1" t="s">
        <v>46</v>
      </c>
      <c r="D30" s="1" t="s">
        <v>19</v>
      </c>
      <c r="E30" s="3">
        <v>45519.0</v>
      </c>
      <c r="F30" s="2">
        <v>1495.26</v>
      </c>
      <c r="G30" s="2">
        <v>62.0</v>
      </c>
      <c r="H30" s="2">
        <v>149.0</v>
      </c>
      <c r="I30" s="1" t="s">
        <v>12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30.0</v>
      </c>
      <c r="B31" s="1" t="s">
        <v>65</v>
      </c>
      <c r="C31" s="1" t="s">
        <v>54</v>
      </c>
      <c r="D31" s="1" t="s">
        <v>27</v>
      </c>
      <c r="E31" s="3">
        <v>45569.0</v>
      </c>
      <c r="F31" s="2">
        <v>480.33</v>
      </c>
      <c r="G31" s="2">
        <v>64.0</v>
      </c>
      <c r="H31" s="2">
        <v>243.0</v>
      </c>
      <c r="I31" s="1" t="s">
        <v>16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31.0</v>
      </c>
      <c r="B32" s="1" t="s">
        <v>66</v>
      </c>
      <c r="C32" s="1" t="s">
        <v>52</v>
      </c>
      <c r="D32" s="1" t="s">
        <v>47</v>
      </c>
      <c r="E32" s="3">
        <v>45224.0</v>
      </c>
      <c r="F32" s="2">
        <v>1379.83</v>
      </c>
      <c r="G32" s="2">
        <v>70.0</v>
      </c>
      <c r="H32" s="2">
        <v>218.0</v>
      </c>
      <c r="I32" s="1" t="s">
        <v>12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32.0</v>
      </c>
      <c r="B33" s="1" t="s">
        <v>67</v>
      </c>
      <c r="C33" s="1" t="s">
        <v>46</v>
      </c>
      <c r="D33" s="1" t="s">
        <v>15</v>
      </c>
      <c r="E33" s="3">
        <v>45055.0</v>
      </c>
      <c r="F33" s="2">
        <v>1776.59</v>
      </c>
      <c r="G33" s="2">
        <v>79.0</v>
      </c>
      <c r="H33" s="2">
        <v>248.0</v>
      </c>
      <c r="I33" s="1" t="s">
        <v>16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33.0</v>
      </c>
      <c r="B34" s="1" t="s">
        <v>68</v>
      </c>
      <c r="C34" s="1" t="s">
        <v>54</v>
      </c>
      <c r="D34" s="1" t="s">
        <v>19</v>
      </c>
      <c r="E34" s="3">
        <v>45449.0</v>
      </c>
      <c r="F34" s="2">
        <v>777.78</v>
      </c>
      <c r="G34" s="2">
        <v>88.0</v>
      </c>
      <c r="H34" s="2">
        <v>136.0</v>
      </c>
      <c r="I34" s="1" t="s">
        <v>16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34.0</v>
      </c>
      <c r="B35" s="1" t="s">
        <v>69</v>
      </c>
      <c r="C35" s="1" t="s">
        <v>70</v>
      </c>
      <c r="D35" s="1" t="s">
        <v>30</v>
      </c>
      <c r="E35" s="3">
        <v>45237.0</v>
      </c>
      <c r="F35" s="2">
        <v>977.55</v>
      </c>
      <c r="G35" s="2">
        <v>78.0</v>
      </c>
      <c r="H35" s="2">
        <v>242.0</v>
      </c>
      <c r="I35" s="1" t="s">
        <v>12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35.0</v>
      </c>
      <c r="B36" s="1" t="s">
        <v>71</v>
      </c>
      <c r="C36" s="1" t="s">
        <v>54</v>
      </c>
      <c r="D36" s="1" t="s">
        <v>35</v>
      </c>
      <c r="E36" s="3">
        <v>45422.0</v>
      </c>
      <c r="F36" s="2">
        <v>801.7</v>
      </c>
      <c r="G36" s="2">
        <v>79.0</v>
      </c>
      <c r="H36" s="2">
        <v>180.0</v>
      </c>
      <c r="I36" s="1" t="s">
        <v>12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36.0</v>
      </c>
      <c r="B37" s="1" t="s">
        <v>72</v>
      </c>
      <c r="C37" s="1" t="s">
        <v>70</v>
      </c>
      <c r="D37" s="1" t="s">
        <v>32</v>
      </c>
      <c r="E37" s="3">
        <v>45447.0</v>
      </c>
      <c r="F37" s="2">
        <v>1393.52</v>
      </c>
      <c r="G37" s="2">
        <v>80.0</v>
      </c>
      <c r="H37" s="2">
        <v>244.0</v>
      </c>
      <c r="I37" s="1" t="s">
        <v>16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37.0</v>
      </c>
      <c r="B38" s="1" t="s">
        <v>73</v>
      </c>
      <c r="C38" s="1" t="s">
        <v>63</v>
      </c>
      <c r="D38" s="1" t="s">
        <v>47</v>
      </c>
      <c r="E38" s="3">
        <v>45414.0</v>
      </c>
      <c r="F38" s="2">
        <v>852.81</v>
      </c>
      <c r="G38" s="2">
        <v>88.0</v>
      </c>
      <c r="H38" s="2">
        <v>212.0</v>
      </c>
      <c r="I38" s="1" t="s">
        <v>16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38.0</v>
      </c>
      <c r="B39" s="1" t="s">
        <v>74</v>
      </c>
      <c r="C39" s="1" t="s">
        <v>21</v>
      </c>
      <c r="D39" s="1" t="s">
        <v>35</v>
      </c>
      <c r="E39" s="3">
        <v>45418.0</v>
      </c>
      <c r="F39" s="2">
        <v>1353.88</v>
      </c>
      <c r="G39" s="2">
        <v>92.0</v>
      </c>
      <c r="H39" s="2">
        <v>125.0</v>
      </c>
      <c r="I39" s="1" t="s">
        <v>16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39.0</v>
      </c>
      <c r="B40" s="1" t="s">
        <v>75</v>
      </c>
      <c r="C40" s="1" t="s">
        <v>29</v>
      </c>
      <c r="D40" s="1" t="s">
        <v>32</v>
      </c>
      <c r="E40" s="3">
        <v>45511.0</v>
      </c>
      <c r="F40" s="2">
        <v>580.94</v>
      </c>
      <c r="G40" s="2">
        <v>99.0</v>
      </c>
      <c r="H40" s="2">
        <v>157.0</v>
      </c>
      <c r="I40" s="1" t="s">
        <v>16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40.0</v>
      </c>
      <c r="B41" s="1" t="s">
        <v>76</v>
      </c>
      <c r="C41" s="1" t="s">
        <v>57</v>
      </c>
      <c r="D41" s="1" t="s">
        <v>32</v>
      </c>
      <c r="E41" s="3">
        <v>45261.0</v>
      </c>
      <c r="F41" s="2">
        <v>574.1</v>
      </c>
      <c r="G41" s="2">
        <v>80.0</v>
      </c>
      <c r="H41" s="2">
        <v>128.0</v>
      </c>
      <c r="I41" s="1" t="s">
        <v>16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41.0</v>
      </c>
      <c r="B42" s="1" t="s">
        <v>77</v>
      </c>
      <c r="C42" s="1" t="s">
        <v>78</v>
      </c>
      <c r="D42" s="1" t="s">
        <v>35</v>
      </c>
      <c r="E42" s="3">
        <v>45188.0</v>
      </c>
      <c r="F42" s="2">
        <v>562.47</v>
      </c>
      <c r="G42" s="2">
        <v>95.0</v>
      </c>
      <c r="H42" s="2">
        <v>188.0</v>
      </c>
      <c r="I42" s="1" t="s">
        <v>12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42.0</v>
      </c>
      <c r="B43" s="1" t="s">
        <v>79</v>
      </c>
      <c r="C43" s="1" t="s">
        <v>57</v>
      </c>
      <c r="D43" s="1" t="s">
        <v>15</v>
      </c>
      <c r="E43" s="3">
        <v>45620.0</v>
      </c>
      <c r="F43" s="2">
        <v>261.13</v>
      </c>
      <c r="G43" s="2">
        <v>73.0</v>
      </c>
      <c r="H43" s="2">
        <v>138.0</v>
      </c>
      <c r="I43" s="1" t="s">
        <v>16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43.0</v>
      </c>
      <c r="B44" s="1" t="s">
        <v>80</v>
      </c>
      <c r="C44" s="1" t="s">
        <v>46</v>
      </c>
      <c r="D44" s="1" t="s">
        <v>15</v>
      </c>
      <c r="E44" s="3">
        <v>45623.0</v>
      </c>
      <c r="F44" s="2">
        <v>949.72</v>
      </c>
      <c r="G44" s="2">
        <v>97.0</v>
      </c>
      <c r="H44" s="2">
        <v>151.0</v>
      </c>
      <c r="I44" s="1" t="s">
        <v>16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>
        <v>44.0</v>
      </c>
      <c r="B45" s="1" t="s">
        <v>81</v>
      </c>
      <c r="C45" s="1" t="s">
        <v>82</v>
      </c>
      <c r="D45" s="1" t="s">
        <v>47</v>
      </c>
      <c r="E45" s="3">
        <v>44972.0</v>
      </c>
      <c r="F45" s="2">
        <v>1764.7</v>
      </c>
      <c r="G45" s="2">
        <v>93.0</v>
      </c>
      <c r="H45" s="2">
        <v>222.0</v>
      </c>
      <c r="I45" s="1" t="s">
        <v>12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>
        <v>45.0</v>
      </c>
      <c r="B46" s="1" t="s">
        <v>83</v>
      </c>
      <c r="C46" s="1" t="s">
        <v>57</v>
      </c>
      <c r="D46" s="1" t="s">
        <v>19</v>
      </c>
      <c r="E46" s="3">
        <v>45049.0</v>
      </c>
      <c r="F46" s="2">
        <v>367.83</v>
      </c>
      <c r="G46" s="2">
        <v>98.0</v>
      </c>
      <c r="H46" s="2">
        <v>267.0</v>
      </c>
      <c r="I46" s="1" t="s">
        <v>16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46.0</v>
      </c>
      <c r="B47" s="1" t="s">
        <v>84</v>
      </c>
      <c r="C47" s="1" t="s">
        <v>52</v>
      </c>
      <c r="D47" s="1" t="s">
        <v>15</v>
      </c>
      <c r="E47" s="3">
        <v>45113.0</v>
      </c>
      <c r="F47" s="2">
        <v>586.39</v>
      </c>
      <c r="G47" s="2">
        <v>84.0</v>
      </c>
      <c r="H47" s="2">
        <v>228.0</v>
      </c>
      <c r="I47" s="1" t="s">
        <v>16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47.0</v>
      </c>
      <c r="B48" s="1" t="s">
        <v>85</v>
      </c>
      <c r="C48" s="1" t="s">
        <v>21</v>
      </c>
      <c r="D48" s="1" t="s">
        <v>30</v>
      </c>
      <c r="E48" s="3">
        <v>45111.0</v>
      </c>
      <c r="F48" s="2">
        <v>1639.41</v>
      </c>
      <c r="G48" s="2">
        <v>67.0</v>
      </c>
      <c r="H48" s="2">
        <v>241.0</v>
      </c>
      <c r="I48" s="1" t="s">
        <v>12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48.0</v>
      </c>
      <c r="B49" s="1" t="s">
        <v>86</v>
      </c>
      <c r="C49" s="1" t="s">
        <v>10</v>
      </c>
      <c r="D49" s="1" t="s">
        <v>15</v>
      </c>
      <c r="E49" s="3">
        <v>45359.0</v>
      </c>
      <c r="F49" s="2">
        <v>581.52</v>
      </c>
      <c r="G49" s="2">
        <v>94.0</v>
      </c>
      <c r="H49" s="2">
        <v>232.0</v>
      </c>
      <c r="I49" s="1" t="s">
        <v>12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49.0</v>
      </c>
      <c r="B50" s="1" t="s">
        <v>87</v>
      </c>
      <c r="C50" s="1" t="s">
        <v>57</v>
      </c>
      <c r="D50" s="1" t="s">
        <v>19</v>
      </c>
      <c r="E50" s="3">
        <v>45275.0</v>
      </c>
      <c r="F50" s="2">
        <v>1613.2</v>
      </c>
      <c r="G50" s="2">
        <v>92.0</v>
      </c>
      <c r="H50" s="2">
        <v>145.0</v>
      </c>
      <c r="I50" s="1" t="s">
        <v>16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50.0</v>
      </c>
      <c r="B51" s="1" t="s">
        <v>88</v>
      </c>
      <c r="C51" s="1" t="s">
        <v>89</v>
      </c>
      <c r="D51" s="1" t="s">
        <v>19</v>
      </c>
      <c r="E51" s="3">
        <v>45456.0</v>
      </c>
      <c r="F51" s="2">
        <v>671.48</v>
      </c>
      <c r="G51" s="2">
        <v>93.0</v>
      </c>
      <c r="H51" s="2">
        <v>128.0</v>
      </c>
      <c r="I51" s="1" t="s">
        <v>16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51.0</v>
      </c>
      <c r="B52" s="1" t="s">
        <v>90</v>
      </c>
      <c r="C52" s="1" t="s">
        <v>38</v>
      </c>
      <c r="D52" s="1" t="s">
        <v>24</v>
      </c>
      <c r="E52" s="3">
        <v>45328.0</v>
      </c>
      <c r="F52" s="2">
        <v>1108.23</v>
      </c>
      <c r="G52" s="2">
        <v>93.0</v>
      </c>
      <c r="H52" s="2">
        <v>190.0</v>
      </c>
      <c r="I52" s="1" t="s">
        <v>12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52.0</v>
      </c>
      <c r="B53" s="1" t="s">
        <v>91</v>
      </c>
      <c r="C53" s="1" t="s">
        <v>78</v>
      </c>
      <c r="D53" s="1" t="s">
        <v>27</v>
      </c>
      <c r="E53" s="3">
        <v>45188.0</v>
      </c>
      <c r="F53" s="2">
        <v>1239.4</v>
      </c>
      <c r="G53" s="2">
        <v>94.0</v>
      </c>
      <c r="H53" s="2">
        <v>260.0</v>
      </c>
      <c r="I53" s="1" t="s">
        <v>16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53.0</v>
      </c>
      <c r="B54" s="1" t="s">
        <v>92</v>
      </c>
      <c r="C54" s="1" t="s">
        <v>10</v>
      </c>
      <c r="D54" s="1" t="s">
        <v>30</v>
      </c>
      <c r="E54" s="3">
        <v>45267.0</v>
      </c>
      <c r="F54" s="2">
        <v>1603.6</v>
      </c>
      <c r="G54" s="2">
        <v>99.0</v>
      </c>
      <c r="H54" s="2">
        <v>126.0</v>
      </c>
      <c r="I54" s="1" t="s">
        <v>16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>
        <v>54.0</v>
      </c>
      <c r="B55" s="1" t="s">
        <v>93</v>
      </c>
      <c r="C55" s="1" t="s">
        <v>41</v>
      </c>
      <c r="D55" s="1" t="s">
        <v>27</v>
      </c>
      <c r="E55" s="3">
        <v>45269.0</v>
      </c>
      <c r="F55" s="2">
        <v>809.42</v>
      </c>
      <c r="G55" s="2">
        <v>82.0</v>
      </c>
      <c r="H55" s="2">
        <v>273.0</v>
      </c>
      <c r="I55" s="1" t="s">
        <v>12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>
        <v>55.0</v>
      </c>
      <c r="B56" s="1" t="s">
        <v>94</v>
      </c>
      <c r="C56" s="1" t="s">
        <v>46</v>
      </c>
      <c r="D56" s="1" t="s">
        <v>27</v>
      </c>
      <c r="E56" s="3">
        <v>45605.0</v>
      </c>
      <c r="F56" s="2">
        <v>211.96</v>
      </c>
      <c r="G56" s="2">
        <v>87.0</v>
      </c>
      <c r="H56" s="2">
        <v>245.0</v>
      </c>
      <c r="I56" s="1" t="s">
        <v>16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>
        <v>56.0</v>
      </c>
      <c r="B57" s="1" t="s">
        <v>95</v>
      </c>
      <c r="C57" s="1" t="s">
        <v>38</v>
      </c>
      <c r="D57" s="1" t="s">
        <v>15</v>
      </c>
      <c r="E57" s="3">
        <v>45050.0</v>
      </c>
      <c r="F57" s="2">
        <v>1053.25</v>
      </c>
      <c r="G57" s="2">
        <v>96.0</v>
      </c>
      <c r="H57" s="2">
        <v>126.0</v>
      </c>
      <c r="I57" s="1" t="s">
        <v>12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>
        <v>57.0</v>
      </c>
      <c r="B58" s="1" t="s">
        <v>96</v>
      </c>
      <c r="C58" s="1" t="s">
        <v>41</v>
      </c>
      <c r="D58" s="1" t="s">
        <v>11</v>
      </c>
      <c r="E58" s="3">
        <v>45249.0</v>
      </c>
      <c r="F58" s="2">
        <v>1791.49</v>
      </c>
      <c r="G58" s="2">
        <v>62.0</v>
      </c>
      <c r="H58" s="2">
        <v>176.0</v>
      </c>
      <c r="I58" s="1" t="s">
        <v>16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>
        <v>58.0</v>
      </c>
      <c r="B59" s="1" t="s">
        <v>97</v>
      </c>
      <c r="C59" s="1" t="s">
        <v>57</v>
      </c>
      <c r="D59" s="1" t="s">
        <v>19</v>
      </c>
      <c r="E59" s="3">
        <v>45176.0</v>
      </c>
      <c r="F59" s="2">
        <v>1595.19</v>
      </c>
      <c r="G59" s="2">
        <v>90.0</v>
      </c>
      <c r="H59" s="2">
        <v>252.0</v>
      </c>
      <c r="I59" s="1" t="s">
        <v>16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>
        <v>59.0</v>
      </c>
      <c r="B60" s="1" t="s">
        <v>98</v>
      </c>
      <c r="C60" s="1" t="s">
        <v>78</v>
      </c>
      <c r="D60" s="1" t="s">
        <v>32</v>
      </c>
      <c r="E60" s="3">
        <v>45278.0</v>
      </c>
      <c r="F60" s="2">
        <v>1099.71</v>
      </c>
      <c r="G60" s="2">
        <v>88.0</v>
      </c>
      <c r="H60" s="2">
        <v>204.0</v>
      </c>
      <c r="I60" s="1" t="s">
        <v>12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>
        <v>60.0</v>
      </c>
      <c r="B61" s="1" t="s">
        <v>99</v>
      </c>
      <c r="C61" s="1" t="s">
        <v>89</v>
      </c>
      <c r="D61" s="1" t="s">
        <v>32</v>
      </c>
      <c r="E61" s="3">
        <v>45343.0</v>
      </c>
      <c r="F61" s="2">
        <v>1248.03</v>
      </c>
      <c r="G61" s="2">
        <v>81.0</v>
      </c>
      <c r="H61" s="2">
        <v>163.0</v>
      </c>
      <c r="I61" s="1" t="s">
        <v>12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>
        <v>61.0</v>
      </c>
      <c r="B62" s="1" t="s">
        <v>100</v>
      </c>
      <c r="C62" s="1" t="s">
        <v>52</v>
      </c>
      <c r="D62" s="1" t="s">
        <v>32</v>
      </c>
      <c r="E62" s="3">
        <v>45578.0</v>
      </c>
      <c r="F62" s="2">
        <v>1604.35</v>
      </c>
      <c r="G62" s="2">
        <v>81.0</v>
      </c>
      <c r="H62" s="2">
        <v>275.0</v>
      </c>
      <c r="I62" s="1" t="s">
        <v>16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>
        <v>62.0</v>
      </c>
      <c r="B63" s="1" t="s">
        <v>101</v>
      </c>
      <c r="C63" s="1" t="s">
        <v>54</v>
      </c>
      <c r="D63" s="1" t="s">
        <v>27</v>
      </c>
      <c r="E63" s="3">
        <v>45550.0</v>
      </c>
      <c r="F63" s="2">
        <v>1517.33</v>
      </c>
      <c r="G63" s="2">
        <v>99.0</v>
      </c>
      <c r="H63" s="2">
        <v>240.0</v>
      </c>
      <c r="I63" s="1" t="s">
        <v>12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>
        <v>63.0</v>
      </c>
      <c r="B64" s="1" t="s">
        <v>102</v>
      </c>
      <c r="C64" s="1" t="s">
        <v>78</v>
      </c>
      <c r="D64" s="1" t="s">
        <v>27</v>
      </c>
      <c r="E64" s="3">
        <v>45538.0</v>
      </c>
      <c r="F64" s="2">
        <v>946.23</v>
      </c>
      <c r="G64" s="2">
        <v>99.0</v>
      </c>
      <c r="H64" s="2">
        <v>213.0</v>
      </c>
      <c r="I64" s="1" t="s">
        <v>12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>
        <v>64.0</v>
      </c>
      <c r="B65" s="1" t="s">
        <v>103</v>
      </c>
      <c r="C65" s="1" t="s">
        <v>63</v>
      </c>
      <c r="D65" s="1" t="s">
        <v>11</v>
      </c>
      <c r="E65" s="3">
        <v>45441.0</v>
      </c>
      <c r="F65" s="2">
        <v>372.17</v>
      </c>
      <c r="G65" s="2">
        <v>70.0</v>
      </c>
      <c r="H65" s="2">
        <v>258.0</v>
      </c>
      <c r="I65" s="1" t="s">
        <v>16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>
        <v>65.0</v>
      </c>
      <c r="B66" s="1" t="s">
        <v>104</v>
      </c>
      <c r="C66" s="1" t="s">
        <v>63</v>
      </c>
      <c r="D66" s="1" t="s">
        <v>11</v>
      </c>
      <c r="E66" s="3">
        <v>45189.0</v>
      </c>
      <c r="F66" s="2">
        <v>494.34</v>
      </c>
      <c r="G66" s="2">
        <v>96.0</v>
      </c>
      <c r="H66" s="2">
        <v>139.0</v>
      </c>
      <c r="I66" s="1" t="s">
        <v>12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>
        <v>66.0</v>
      </c>
      <c r="B67" s="1" t="s">
        <v>105</v>
      </c>
      <c r="C67" s="1" t="s">
        <v>63</v>
      </c>
      <c r="D67" s="1" t="s">
        <v>32</v>
      </c>
      <c r="E67" s="3">
        <v>45512.0</v>
      </c>
      <c r="F67" s="2">
        <v>1514.03</v>
      </c>
      <c r="G67" s="2">
        <v>90.0</v>
      </c>
      <c r="H67" s="2">
        <v>281.0</v>
      </c>
      <c r="I67" s="1" t="s">
        <v>12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>
        <v>67.0</v>
      </c>
      <c r="B68" s="1" t="s">
        <v>106</v>
      </c>
      <c r="C68" s="1" t="s">
        <v>23</v>
      </c>
      <c r="D68" s="1" t="s">
        <v>15</v>
      </c>
      <c r="E68" s="3">
        <v>45047.0</v>
      </c>
      <c r="F68" s="2">
        <v>1205.22</v>
      </c>
      <c r="G68" s="2">
        <v>78.0</v>
      </c>
      <c r="H68" s="2">
        <v>235.0</v>
      </c>
      <c r="I68" s="1" t="s">
        <v>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>
        <v>68.0</v>
      </c>
      <c r="B69" s="1" t="s">
        <v>107</v>
      </c>
      <c r="C69" s="1" t="s">
        <v>10</v>
      </c>
      <c r="D69" s="1" t="s">
        <v>27</v>
      </c>
      <c r="E69" s="3">
        <v>45374.0</v>
      </c>
      <c r="F69" s="2">
        <v>1306.82</v>
      </c>
      <c r="G69" s="2">
        <v>63.0</v>
      </c>
      <c r="H69" s="2">
        <v>220.0</v>
      </c>
      <c r="I69" s="1" t="s">
        <v>16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>
        <v>69.0</v>
      </c>
      <c r="B70" s="1" t="s">
        <v>108</v>
      </c>
      <c r="C70" s="1" t="s">
        <v>46</v>
      </c>
      <c r="D70" s="1" t="s">
        <v>32</v>
      </c>
      <c r="E70" s="3">
        <v>45479.0</v>
      </c>
      <c r="F70" s="2">
        <v>834.89</v>
      </c>
      <c r="G70" s="2">
        <v>80.0</v>
      </c>
      <c r="H70" s="2">
        <v>254.0</v>
      </c>
      <c r="I70" s="1" t="s">
        <v>12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>
        <v>70.0</v>
      </c>
      <c r="B71" s="1" t="s">
        <v>109</v>
      </c>
      <c r="C71" s="1" t="s">
        <v>52</v>
      </c>
      <c r="D71" s="1" t="s">
        <v>11</v>
      </c>
      <c r="E71" s="3">
        <v>45480.0</v>
      </c>
      <c r="F71" s="2">
        <v>325.88</v>
      </c>
      <c r="G71" s="2">
        <v>72.0</v>
      </c>
      <c r="H71" s="2">
        <v>179.0</v>
      </c>
      <c r="I71" s="1" t="s">
        <v>12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>
        <v>71.0</v>
      </c>
      <c r="B72" s="1" t="s">
        <v>110</v>
      </c>
      <c r="C72" s="1" t="s">
        <v>38</v>
      </c>
      <c r="D72" s="1" t="s">
        <v>27</v>
      </c>
      <c r="E72" s="3">
        <v>45290.0</v>
      </c>
      <c r="F72" s="2">
        <v>1777.04</v>
      </c>
      <c r="G72" s="2">
        <v>72.0</v>
      </c>
      <c r="H72" s="2">
        <v>284.0</v>
      </c>
      <c r="I72" s="1" t="s">
        <v>12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>
        <v>72.0</v>
      </c>
      <c r="B73" s="1" t="s">
        <v>111</v>
      </c>
      <c r="C73" s="1" t="s">
        <v>82</v>
      </c>
      <c r="D73" s="1" t="s">
        <v>35</v>
      </c>
      <c r="E73" s="3">
        <v>45559.0</v>
      </c>
      <c r="F73" s="2">
        <v>1355.43</v>
      </c>
      <c r="G73" s="2">
        <v>69.0</v>
      </c>
      <c r="H73" s="2">
        <v>149.0</v>
      </c>
      <c r="I73" s="1" t="s">
        <v>16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>
        <v>73.0</v>
      </c>
      <c r="B74" s="1" t="s">
        <v>112</v>
      </c>
      <c r="C74" s="1" t="s">
        <v>23</v>
      </c>
      <c r="D74" s="1" t="s">
        <v>24</v>
      </c>
      <c r="E74" s="3">
        <v>45266.0</v>
      </c>
      <c r="F74" s="2">
        <v>1068.46</v>
      </c>
      <c r="G74" s="2">
        <v>64.0</v>
      </c>
      <c r="H74" s="2">
        <v>216.0</v>
      </c>
      <c r="I74" s="1" t="s">
        <v>16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>
        <v>74.0</v>
      </c>
      <c r="B75" s="1" t="s">
        <v>113</v>
      </c>
      <c r="C75" s="1" t="s">
        <v>26</v>
      </c>
      <c r="D75" s="1" t="s">
        <v>32</v>
      </c>
      <c r="E75" s="3">
        <v>45170.0</v>
      </c>
      <c r="F75" s="2">
        <v>1756.35</v>
      </c>
      <c r="G75" s="2">
        <v>71.0</v>
      </c>
      <c r="H75" s="2">
        <v>258.0</v>
      </c>
      <c r="I75" s="1" t="s">
        <v>16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>
        <v>75.0</v>
      </c>
      <c r="B76" s="1" t="s">
        <v>114</v>
      </c>
      <c r="C76" s="1" t="s">
        <v>18</v>
      </c>
      <c r="D76" s="1" t="s">
        <v>24</v>
      </c>
      <c r="E76" s="3">
        <v>45063.0</v>
      </c>
      <c r="F76" s="2">
        <v>684.48</v>
      </c>
      <c r="G76" s="2">
        <v>85.0</v>
      </c>
      <c r="H76" s="2">
        <v>142.0</v>
      </c>
      <c r="I76" s="1" t="s">
        <v>16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>
        <v>76.0</v>
      </c>
      <c r="B77" s="1" t="s">
        <v>115</v>
      </c>
      <c r="C77" s="1" t="s">
        <v>78</v>
      </c>
      <c r="D77" s="1" t="s">
        <v>24</v>
      </c>
      <c r="E77" s="3">
        <v>45441.0</v>
      </c>
      <c r="F77" s="2">
        <v>1648.53</v>
      </c>
      <c r="G77" s="2">
        <v>75.0</v>
      </c>
      <c r="H77" s="2">
        <v>160.0</v>
      </c>
      <c r="I77" s="1" t="s">
        <v>12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>
        <v>77.0</v>
      </c>
      <c r="B78" s="1" t="s">
        <v>116</v>
      </c>
      <c r="C78" s="1" t="s">
        <v>21</v>
      </c>
      <c r="D78" s="1" t="s">
        <v>35</v>
      </c>
      <c r="E78" s="3">
        <v>45089.0</v>
      </c>
      <c r="F78" s="2">
        <v>1513.24</v>
      </c>
      <c r="G78" s="2">
        <v>62.0</v>
      </c>
      <c r="H78" s="2">
        <v>170.0</v>
      </c>
      <c r="I78" s="1" t="s">
        <v>16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>
        <v>78.0</v>
      </c>
      <c r="B79" s="1" t="s">
        <v>117</v>
      </c>
      <c r="C79" s="1" t="s">
        <v>21</v>
      </c>
      <c r="D79" s="1" t="s">
        <v>30</v>
      </c>
      <c r="E79" s="3">
        <v>45609.0</v>
      </c>
      <c r="F79" s="2">
        <v>1340.8</v>
      </c>
      <c r="G79" s="2">
        <v>62.0</v>
      </c>
      <c r="H79" s="2">
        <v>150.0</v>
      </c>
      <c r="I79" s="1" t="s">
        <v>16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>
        <v>79.0</v>
      </c>
      <c r="B80" s="1" t="s">
        <v>118</v>
      </c>
      <c r="C80" s="1" t="s">
        <v>34</v>
      </c>
      <c r="D80" s="1" t="s">
        <v>15</v>
      </c>
      <c r="E80" s="3">
        <v>45512.0</v>
      </c>
      <c r="F80" s="2">
        <v>1015.7</v>
      </c>
      <c r="G80" s="2">
        <v>79.0</v>
      </c>
      <c r="H80" s="2">
        <v>288.0</v>
      </c>
      <c r="I80" s="1" t="s">
        <v>12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>
        <v>80.0</v>
      </c>
      <c r="B81" s="1" t="s">
        <v>119</v>
      </c>
      <c r="C81" s="1" t="s">
        <v>10</v>
      </c>
      <c r="D81" s="1" t="s">
        <v>47</v>
      </c>
      <c r="E81" s="3">
        <v>45461.0</v>
      </c>
      <c r="F81" s="2">
        <v>221.93</v>
      </c>
      <c r="G81" s="2">
        <v>98.0</v>
      </c>
      <c r="H81" s="2">
        <v>181.0</v>
      </c>
      <c r="I81" s="1" t="s">
        <v>12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>
        <v>81.0</v>
      </c>
      <c r="B82" s="1" t="s">
        <v>120</v>
      </c>
      <c r="C82" s="1" t="s">
        <v>38</v>
      </c>
      <c r="D82" s="1" t="s">
        <v>24</v>
      </c>
      <c r="E82" s="3">
        <v>45205.0</v>
      </c>
      <c r="F82" s="2">
        <v>759.23</v>
      </c>
      <c r="G82" s="2">
        <v>71.0</v>
      </c>
      <c r="H82" s="2">
        <v>296.0</v>
      </c>
      <c r="I82" s="1" t="s">
        <v>12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>
        <v>82.0</v>
      </c>
      <c r="B83" s="1" t="s">
        <v>121</v>
      </c>
      <c r="C83" s="1" t="s">
        <v>52</v>
      </c>
      <c r="D83" s="1" t="s">
        <v>27</v>
      </c>
      <c r="E83" s="3">
        <v>45184.0</v>
      </c>
      <c r="F83" s="2">
        <v>1474.57</v>
      </c>
      <c r="G83" s="2">
        <v>79.0</v>
      </c>
      <c r="H83" s="2">
        <v>181.0</v>
      </c>
      <c r="I83" s="1" t="s">
        <v>16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>
        <v>83.0</v>
      </c>
      <c r="B84" s="1" t="s">
        <v>122</v>
      </c>
      <c r="C84" s="1" t="s">
        <v>21</v>
      </c>
      <c r="D84" s="1" t="s">
        <v>35</v>
      </c>
      <c r="E84" s="3">
        <v>45251.0</v>
      </c>
      <c r="F84" s="2">
        <v>1158.72</v>
      </c>
      <c r="G84" s="2">
        <v>94.0</v>
      </c>
      <c r="H84" s="2">
        <v>296.0</v>
      </c>
      <c r="I84" s="1" t="s">
        <v>16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>
        <v>84.0</v>
      </c>
      <c r="B85" s="1" t="s">
        <v>123</v>
      </c>
      <c r="C85" s="1" t="s">
        <v>29</v>
      </c>
      <c r="D85" s="1" t="s">
        <v>32</v>
      </c>
      <c r="E85" s="3">
        <v>45213.0</v>
      </c>
      <c r="F85" s="2">
        <v>851.44</v>
      </c>
      <c r="G85" s="2">
        <v>84.0</v>
      </c>
      <c r="H85" s="2">
        <v>128.0</v>
      </c>
      <c r="I85" s="1" t="s">
        <v>16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>
        <v>85.0</v>
      </c>
      <c r="B86" s="1" t="s">
        <v>124</v>
      </c>
      <c r="C86" s="1" t="s">
        <v>18</v>
      </c>
      <c r="D86" s="1" t="s">
        <v>27</v>
      </c>
      <c r="E86" s="3">
        <v>45575.0</v>
      </c>
      <c r="F86" s="2">
        <v>1211.0</v>
      </c>
      <c r="G86" s="2">
        <v>80.0</v>
      </c>
      <c r="H86" s="2">
        <v>205.0</v>
      </c>
      <c r="I86" s="1" t="s">
        <v>16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>
        <v>86.0</v>
      </c>
      <c r="B87" s="1" t="s">
        <v>125</v>
      </c>
      <c r="C87" s="1" t="s">
        <v>29</v>
      </c>
      <c r="D87" s="1" t="s">
        <v>27</v>
      </c>
      <c r="E87" s="3">
        <v>45442.0</v>
      </c>
      <c r="F87" s="2">
        <v>1453.5</v>
      </c>
      <c r="G87" s="2">
        <v>94.0</v>
      </c>
      <c r="H87" s="2">
        <v>148.0</v>
      </c>
      <c r="I87" s="1" t="s">
        <v>16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>
        <v>87.0</v>
      </c>
      <c r="B88" s="1" t="s">
        <v>126</v>
      </c>
      <c r="C88" s="1" t="s">
        <v>57</v>
      </c>
      <c r="D88" s="1" t="s">
        <v>35</v>
      </c>
      <c r="E88" s="3">
        <v>45373.0</v>
      </c>
      <c r="F88" s="2">
        <v>1261.93</v>
      </c>
      <c r="G88" s="2">
        <v>78.0</v>
      </c>
      <c r="H88" s="2">
        <v>207.0</v>
      </c>
      <c r="I88" s="1" t="s">
        <v>12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>
        <v>88.0</v>
      </c>
      <c r="B89" s="1" t="s">
        <v>127</v>
      </c>
      <c r="C89" s="1" t="s">
        <v>10</v>
      </c>
      <c r="D89" s="1" t="s">
        <v>27</v>
      </c>
      <c r="E89" s="3">
        <v>45548.0</v>
      </c>
      <c r="F89" s="2">
        <v>1011.72</v>
      </c>
      <c r="G89" s="2">
        <v>80.0</v>
      </c>
      <c r="H89" s="2">
        <v>166.0</v>
      </c>
      <c r="I89" s="1" t="s">
        <v>16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>
        <v>89.0</v>
      </c>
      <c r="B90" s="1" t="s">
        <v>128</v>
      </c>
      <c r="C90" s="1" t="s">
        <v>41</v>
      </c>
      <c r="D90" s="1" t="s">
        <v>15</v>
      </c>
      <c r="E90" s="3">
        <v>44991.0</v>
      </c>
      <c r="F90" s="2">
        <v>975.67</v>
      </c>
      <c r="G90" s="2">
        <v>77.0</v>
      </c>
      <c r="H90" s="2">
        <v>190.0</v>
      </c>
      <c r="I90" s="1" t="s">
        <v>12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>
        <v>90.0</v>
      </c>
      <c r="B91" s="1" t="s">
        <v>129</v>
      </c>
      <c r="C91" s="1" t="s">
        <v>23</v>
      </c>
      <c r="D91" s="1" t="s">
        <v>47</v>
      </c>
      <c r="E91" s="3">
        <v>45429.0</v>
      </c>
      <c r="F91" s="2">
        <v>311.35</v>
      </c>
      <c r="G91" s="2">
        <v>76.0</v>
      </c>
      <c r="H91" s="2">
        <v>148.0</v>
      </c>
      <c r="I91" s="1" t="s">
        <v>12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>
        <v>91.0</v>
      </c>
      <c r="B92" s="1" t="s">
        <v>130</v>
      </c>
      <c r="C92" s="1" t="s">
        <v>78</v>
      </c>
      <c r="D92" s="1" t="s">
        <v>24</v>
      </c>
      <c r="E92" s="3">
        <v>45395.0</v>
      </c>
      <c r="F92" s="2">
        <v>265.47</v>
      </c>
      <c r="G92" s="2">
        <v>62.0</v>
      </c>
      <c r="H92" s="2">
        <v>204.0</v>
      </c>
      <c r="I92" s="1" t="s">
        <v>12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>
        <v>92.0</v>
      </c>
      <c r="B93" s="1" t="s">
        <v>131</v>
      </c>
      <c r="C93" s="1" t="s">
        <v>54</v>
      </c>
      <c r="D93" s="1" t="s">
        <v>32</v>
      </c>
      <c r="E93" s="3">
        <v>45174.0</v>
      </c>
      <c r="F93" s="2">
        <v>172.8</v>
      </c>
      <c r="G93" s="2">
        <v>61.0</v>
      </c>
      <c r="H93" s="2">
        <v>223.0</v>
      </c>
      <c r="I93" s="1" t="s">
        <v>12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>
        <v>93.0</v>
      </c>
      <c r="B94" s="1" t="s">
        <v>132</v>
      </c>
      <c r="C94" s="1" t="s">
        <v>54</v>
      </c>
      <c r="D94" s="1" t="s">
        <v>24</v>
      </c>
      <c r="E94" s="3">
        <v>45308.0</v>
      </c>
      <c r="F94" s="2">
        <v>1262.27</v>
      </c>
      <c r="G94" s="2">
        <v>98.0</v>
      </c>
      <c r="H94" s="2">
        <v>169.0</v>
      </c>
      <c r="I94" s="1" t="s">
        <v>16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>
        <v>94.0</v>
      </c>
      <c r="B95" s="1" t="s">
        <v>133</v>
      </c>
      <c r="C95" s="1" t="s">
        <v>43</v>
      </c>
      <c r="D95" s="1" t="s">
        <v>30</v>
      </c>
      <c r="E95" s="3">
        <v>45264.0</v>
      </c>
      <c r="F95" s="2">
        <v>1018.8</v>
      </c>
      <c r="G95" s="2">
        <v>81.0</v>
      </c>
      <c r="H95" s="2">
        <v>204.0</v>
      </c>
      <c r="I95" s="1" t="s">
        <v>16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>
        <v>95.0</v>
      </c>
      <c r="B96" s="1" t="s">
        <v>134</v>
      </c>
      <c r="C96" s="1" t="s">
        <v>89</v>
      </c>
      <c r="D96" s="1" t="s">
        <v>19</v>
      </c>
      <c r="E96" s="3">
        <v>45419.0</v>
      </c>
      <c r="F96" s="2">
        <v>665.78</v>
      </c>
      <c r="G96" s="2">
        <v>68.0</v>
      </c>
      <c r="H96" s="2">
        <v>124.0</v>
      </c>
      <c r="I96" s="1" t="s">
        <v>16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>
        <v>96.0</v>
      </c>
      <c r="B97" s="1" t="s">
        <v>135</v>
      </c>
      <c r="C97" s="1" t="s">
        <v>18</v>
      </c>
      <c r="D97" s="1" t="s">
        <v>24</v>
      </c>
      <c r="E97" s="3">
        <v>45165.0</v>
      </c>
      <c r="F97" s="2">
        <v>984.96</v>
      </c>
      <c r="G97" s="2">
        <v>80.0</v>
      </c>
      <c r="H97" s="2">
        <v>120.0</v>
      </c>
      <c r="I97" s="1" t="s">
        <v>12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>
        <v>97.0</v>
      </c>
      <c r="B98" s="1" t="s">
        <v>136</v>
      </c>
      <c r="C98" s="1" t="s">
        <v>43</v>
      </c>
      <c r="D98" s="1" t="s">
        <v>32</v>
      </c>
      <c r="E98" s="3">
        <v>45471.0</v>
      </c>
      <c r="F98" s="2">
        <v>768.59</v>
      </c>
      <c r="G98" s="2">
        <v>61.0</v>
      </c>
      <c r="H98" s="2">
        <v>140.0</v>
      </c>
      <c r="I98" s="1" t="s">
        <v>16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>
        <v>98.0</v>
      </c>
      <c r="B99" s="1" t="s">
        <v>137</v>
      </c>
      <c r="C99" s="1" t="s">
        <v>89</v>
      </c>
      <c r="D99" s="1" t="s">
        <v>27</v>
      </c>
      <c r="E99" s="3">
        <v>45091.0</v>
      </c>
      <c r="F99" s="2">
        <v>1409.08</v>
      </c>
      <c r="G99" s="2">
        <v>98.0</v>
      </c>
      <c r="H99" s="2">
        <v>258.0</v>
      </c>
      <c r="I99" s="1" t="s">
        <v>12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>
        <v>99.0</v>
      </c>
      <c r="B100" s="1" t="s">
        <v>138</v>
      </c>
      <c r="C100" s="1" t="s">
        <v>14</v>
      </c>
      <c r="D100" s="1" t="s">
        <v>47</v>
      </c>
      <c r="E100" s="3">
        <v>45300.0</v>
      </c>
      <c r="F100" s="2">
        <v>976.79</v>
      </c>
      <c r="G100" s="2">
        <v>83.0</v>
      </c>
      <c r="H100" s="2">
        <v>265.0</v>
      </c>
      <c r="I100" s="1" t="s">
        <v>12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>
        <v>100.0</v>
      </c>
      <c r="B101" s="1" t="s">
        <v>139</v>
      </c>
      <c r="C101" s="1" t="s">
        <v>21</v>
      </c>
      <c r="D101" s="1" t="s">
        <v>19</v>
      </c>
      <c r="E101" s="3">
        <v>45467.0</v>
      </c>
      <c r="F101" s="2">
        <v>1596.93</v>
      </c>
      <c r="G101" s="2">
        <v>94.0</v>
      </c>
      <c r="H101" s="2">
        <v>230.0</v>
      </c>
      <c r="I101" s="1" t="s">
        <v>16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3</v>
      </c>
      <c r="C1" s="5" t="s">
        <v>140</v>
      </c>
      <c r="D1" s="5" t="s">
        <v>141</v>
      </c>
      <c r="E1" s="5" t="s">
        <v>142</v>
      </c>
      <c r="F1" s="5" t="s">
        <v>143</v>
      </c>
      <c r="G1" s="6" t="s">
        <v>8</v>
      </c>
      <c r="H1" s="5" t="s">
        <v>144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" t="s">
        <v>10</v>
      </c>
      <c r="B2" s="1" t="s">
        <v>11</v>
      </c>
      <c r="C2" s="3">
        <v>45242.0</v>
      </c>
      <c r="D2" s="2">
        <v>1686.11</v>
      </c>
      <c r="E2" s="2">
        <v>79.0</v>
      </c>
      <c r="F2" s="2">
        <v>282.0</v>
      </c>
      <c r="G2" s="2" t="s">
        <v>12</v>
      </c>
      <c r="H2" s="1">
        <f t="shared" ref="H2:H101" si="1">YEAR(C2)</f>
        <v>2023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">
        <v>14</v>
      </c>
      <c r="B3" s="1" t="s">
        <v>15</v>
      </c>
      <c r="C3" s="3">
        <v>45585.0</v>
      </c>
      <c r="D3" s="2">
        <v>654.74</v>
      </c>
      <c r="E3" s="2">
        <v>87.0</v>
      </c>
      <c r="F3" s="2">
        <v>144.0</v>
      </c>
      <c r="G3" s="2" t="s">
        <v>16</v>
      </c>
      <c r="H3" s="1">
        <f t="shared" si="1"/>
        <v>2024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">
        <v>18</v>
      </c>
      <c r="B4" s="1" t="s">
        <v>19</v>
      </c>
      <c r="C4" s="3">
        <v>45039.0</v>
      </c>
      <c r="D4" s="2">
        <v>1739.75</v>
      </c>
      <c r="E4" s="2">
        <v>99.0</v>
      </c>
      <c r="F4" s="2">
        <v>200.0</v>
      </c>
      <c r="G4" s="2" t="s">
        <v>16</v>
      </c>
      <c r="H4" s="1">
        <f t="shared" si="1"/>
        <v>2023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">
        <v>21</v>
      </c>
      <c r="B5" s="1" t="s">
        <v>19</v>
      </c>
      <c r="C5" s="3">
        <v>45067.0</v>
      </c>
      <c r="D5" s="2">
        <v>924.5</v>
      </c>
      <c r="E5" s="2">
        <v>66.0</v>
      </c>
      <c r="F5" s="2">
        <v>282.0</v>
      </c>
      <c r="G5" s="2" t="s">
        <v>16</v>
      </c>
      <c r="H5" s="1">
        <f t="shared" si="1"/>
        <v>2023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 t="s">
        <v>23</v>
      </c>
      <c r="B6" s="1" t="s">
        <v>24</v>
      </c>
      <c r="C6" s="3">
        <v>45014.0</v>
      </c>
      <c r="D6" s="2">
        <v>833.8</v>
      </c>
      <c r="E6" s="2">
        <v>72.0</v>
      </c>
      <c r="F6" s="2">
        <v>293.0</v>
      </c>
      <c r="G6" s="2" t="s">
        <v>16</v>
      </c>
      <c r="H6" s="1">
        <f t="shared" si="1"/>
        <v>2023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 t="s">
        <v>26</v>
      </c>
      <c r="B7" s="1" t="s">
        <v>27</v>
      </c>
      <c r="C7" s="3">
        <v>44995.0</v>
      </c>
      <c r="D7" s="2">
        <v>266.11</v>
      </c>
      <c r="E7" s="2">
        <v>96.0</v>
      </c>
      <c r="F7" s="2">
        <v>137.0</v>
      </c>
      <c r="G7" s="2" t="s">
        <v>16</v>
      </c>
      <c r="H7" s="1">
        <f t="shared" si="1"/>
        <v>2023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">
        <v>29</v>
      </c>
      <c r="B8" s="1" t="s">
        <v>30</v>
      </c>
      <c r="C8" s="3">
        <v>45587.0</v>
      </c>
      <c r="D8" s="2">
        <v>277.56</v>
      </c>
      <c r="E8" s="2">
        <v>97.0</v>
      </c>
      <c r="F8" s="2">
        <v>176.0</v>
      </c>
      <c r="G8" s="2" t="s">
        <v>12</v>
      </c>
      <c r="H8" s="1">
        <f t="shared" si="1"/>
        <v>2024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 t="s">
        <v>26</v>
      </c>
      <c r="B9" s="1" t="s">
        <v>32</v>
      </c>
      <c r="C9" s="3">
        <v>45055.0</v>
      </c>
      <c r="D9" s="2">
        <v>1477.73</v>
      </c>
      <c r="E9" s="2">
        <v>99.0</v>
      </c>
      <c r="F9" s="2">
        <v>249.0</v>
      </c>
      <c r="G9" s="2" t="s">
        <v>12</v>
      </c>
      <c r="H9" s="1">
        <f t="shared" si="1"/>
        <v>2023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 t="s">
        <v>34</v>
      </c>
      <c r="B10" s="1" t="s">
        <v>35</v>
      </c>
      <c r="C10" s="3">
        <v>45176.0</v>
      </c>
      <c r="D10" s="2">
        <v>616.7</v>
      </c>
      <c r="E10" s="2">
        <v>63.0</v>
      </c>
      <c r="F10" s="2">
        <v>224.0</v>
      </c>
      <c r="G10" s="2" t="s">
        <v>12</v>
      </c>
      <c r="H10" s="1">
        <f t="shared" si="1"/>
        <v>2023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">
        <v>26</v>
      </c>
      <c r="B11" s="1" t="s">
        <v>15</v>
      </c>
      <c r="C11" s="3">
        <v>44985.0</v>
      </c>
      <c r="D11" s="2">
        <v>938.7</v>
      </c>
      <c r="E11" s="2">
        <v>74.0</v>
      </c>
      <c r="F11" s="2">
        <v>229.0</v>
      </c>
      <c r="G11" s="2" t="s">
        <v>12</v>
      </c>
      <c r="H11" s="1">
        <f t="shared" si="1"/>
        <v>2023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">
        <v>38</v>
      </c>
      <c r="B12" s="1" t="s">
        <v>27</v>
      </c>
      <c r="C12" s="3">
        <v>45563.0</v>
      </c>
      <c r="D12" s="2">
        <v>302.83</v>
      </c>
      <c r="E12" s="2">
        <v>71.0</v>
      </c>
      <c r="F12" s="2">
        <v>282.0</v>
      </c>
      <c r="G12" s="2" t="s">
        <v>16</v>
      </c>
      <c r="H12" s="1">
        <f t="shared" si="1"/>
        <v>2024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">
        <v>38</v>
      </c>
      <c r="B13" s="1" t="s">
        <v>24</v>
      </c>
      <c r="C13" s="3">
        <v>45404.0</v>
      </c>
      <c r="D13" s="2">
        <v>497.69</v>
      </c>
      <c r="E13" s="2">
        <v>100.0</v>
      </c>
      <c r="F13" s="2">
        <v>266.0</v>
      </c>
      <c r="G13" s="2" t="s">
        <v>12</v>
      </c>
      <c r="H13" s="1">
        <f t="shared" si="1"/>
        <v>2024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">
        <v>41</v>
      </c>
      <c r="B14" s="1" t="s">
        <v>24</v>
      </c>
      <c r="C14" s="3">
        <v>45250.0</v>
      </c>
      <c r="D14" s="2">
        <v>966.21</v>
      </c>
      <c r="E14" s="2">
        <v>89.0</v>
      </c>
      <c r="F14" s="2">
        <v>239.0</v>
      </c>
      <c r="G14" s="2" t="s">
        <v>12</v>
      </c>
      <c r="H14" s="1">
        <f t="shared" si="1"/>
        <v>2023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 t="s">
        <v>43</v>
      </c>
      <c r="B15" s="1" t="s">
        <v>24</v>
      </c>
      <c r="C15" s="3">
        <v>45169.0</v>
      </c>
      <c r="D15" s="2">
        <v>978.68</v>
      </c>
      <c r="E15" s="2">
        <v>67.0</v>
      </c>
      <c r="F15" s="2">
        <v>187.0</v>
      </c>
      <c r="G15" s="2" t="s">
        <v>12</v>
      </c>
      <c r="H15" s="1">
        <f t="shared" si="1"/>
        <v>2023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">
        <v>10</v>
      </c>
      <c r="B16" s="1" t="s">
        <v>11</v>
      </c>
      <c r="C16" s="3">
        <v>45303.0</v>
      </c>
      <c r="D16" s="2">
        <v>1094.13</v>
      </c>
      <c r="E16" s="2">
        <v>71.0</v>
      </c>
      <c r="F16" s="2">
        <v>279.0</v>
      </c>
      <c r="G16" s="2" t="s">
        <v>12</v>
      </c>
      <c r="H16" s="1">
        <f t="shared" si="1"/>
        <v>2024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">
        <v>46</v>
      </c>
      <c r="B17" s="1" t="s">
        <v>47</v>
      </c>
      <c r="C17" s="3">
        <v>45101.0</v>
      </c>
      <c r="D17" s="2">
        <v>1125.11</v>
      </c>
      <c r="E17" s="2">
        <v>62.0</v>
      </c>
      <c r="F17" s="2">
        <v>135.0</v>
      </c>
      <c r="G17" s="2" t="s">
        <v>16</v>
      </c>
      <c r="H17" s="1">
        <f t="shared" si="1"/>
        <v>2023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 t="s">
        <v>14</v>
      </c>
      <c r="B18" s="1" t="s">
        <v>30</v>
      </c>
      <c r="C18" s="3">
        <v>45595.0</v>
      </c>
      <c r="D18" s="2">
        <v>1160.69</v>
      </c>
      <c r="E18" s="2">
        <v>65.0</v>
      </c>
      <c r="F18" s="2">
        <v>145.0</v>
      </c>
      <c r="G18" s="2" t="s">
        <v>12</v>
      </c>
      <c r="H18" s="1">
        <f t="shared" si="1"/>
        <v>2024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 t="s">
        <v>38</v>
      </c>
      <c r="B19" s="1" t="s">
        <v>19</v>
      </c>
      <c r="C19" s="3">
        <v>45016.0</v>
      </c>
      <c r="D19" s="2">
        <v>757.02</v>
      </c>
      <c r="E19" s="2">
        <v>77.0</v>
      </c>
      <c r="F19" s="2">
        <v>143.0</v>
      </c>
      <c r="G19" s="2" t="s">
        <v>16</v>
      </c>
      <c r="H19" s="1">
        <f t="shared" si="1"/>
        <v>2023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">
        <v>18</v>
      </c>
      <c r="B20" s="1" t="s">
        <v>19</v>
      </c>
      <c r="C20" s="3">
        <v>45051.0</v>
      </c>
      <c r="D20" s="2">
        <v>1314.77</v>
      </c>
      <c r="E20" s="2">
        <v>100.0</v>
      </c>
      <c r="F20" s="2">
        <v>163.0</v>
      </c>
      <c r="G20" s="2" t="s">
        <v>16</v>
      </c>
      <c r="H20" s="1">
        <f t="shared" si="1"/>
        <v>2023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 t="s">
        <v>52</v>
      </c>
      <c r="B21" s="1" t="s">
        <v>15</v>
      </c>
      <c r="C21" s="3">
        <v>45552.0</v>
      </c>
      <c r="D21" s="2">
        <v>688.66</v>
      </c>
      <c r="E21" s="2">
        <v>70.0</v>
      </c>
      <c r="F21" s="2">
        <v>248.0</v>
      </c>
      <c r="G21" s="2" t="s">
        <v>16</v>
      </c>
      <c r="H21" s="1">
        <f t="shared" si="1"/>
        <v>2024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 t="s">
        <v>54</v>
      </c>
      <c r="B22" s="1" t="s">
        <v>27</v>
      </c>
      <c r="C22" s="3">
        <v>45358.0</v>
      </c>
      <c r="D22" s="2">
        <v>1289.99</v>
      </c>
      <c r="E22" s="2">
        <v>78.0</v>
      </c>
      <c r="F22" s="2">
        <v>127.0</v>
      </c>
      <c r="G22" s="2" t="s">
        <v>12</v>
      </c>
      <c r="H22" s="1">
        <f t="shared" si="1"/>
        <v>2024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 t="s">
        <v>41</v>
      </c>
      <c r="B23" s="1" t="s">
        <v>24</v>
      </c>
      <c r="C23" s="3">
        <v>45015.0</v>
      </c>
      <c r="D23" s="2">
        <v>618.6</v>
      </c>
      <c r="E23" s="2">
        <v>77.0</v>
      </c>
      <c r="F23" s="2">
        <v>134.0</v>
      </c>
      <c r="G23" s="2" t="s">
        <v>16</v>
      </c>
      <c r="H23" s="1">
        <f t="shared" si="1"/>
        <v>2023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 t="s">
        <v>57</v>
      </c>
      <c r="B24" s="1" t="s">
        <v>15</v>
      </c>
      <c r="C24" s="3">
        <v>45346.0</v>
      </c>
      <c r="D24" s="2">
        <v>1001.25</v>
      </c>
      <c r="E24" s="2">
        <v>60.0</v>
      </c>
      <c r="F24" s="2">
        <v>193.0</v>
      </c>
      <c r="G24" s="2" t="s">
        <v>16</v>
      </c>
      <c r="H24" s="1">
        <f t="shared" si="1"/>
        <v>2024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 t="s">
        <v>38</v>
      </c>
      <c r="B25" s="1" t="s">
        <v>24</v>
      </c>
      <c r="C25" s="3">
        <v>45012.0</v>
      </c>
      <c r="D25" s="2">
        <v>1768.29</v>
      </c>
      <c r="E25" s="2">
        <v>63.0</v>
      </c>
      <c r="F25" s="2">
        <v>180.0</v>
      </c>
      <c r="G25" s="2" t="s">
        <v>12</v>
      </c>
      <c r="H25" s="1">
        <f t="shared" si="1"/>
        <v>2023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 t="s">
        <v>21</v>
      </c>
      <c r="B26" s="1" t="s">
        <v>19</v>
      </c>
      <c r="C26" s="3">
        <v>45168.0</v>
      </c>
      <c r="D26" s="2">
        <v>231.54</v>
      </c>
      <c r="E26" s="2">
        <v>88.0</v>
      </c>
      <c r="F26" s="2">
        <v>200.0</v>
      </c>
      <c r="G26" s="2" t="s">
        <v>12</v>
      </c>
      <c r="H26" s="1">
        <f t="shared" si="1"/>
        <v>2023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 t="s">
        <v>21</v>
      </c>
      <c r="B27" s="1" t="s">
        <v>32</v>
      </c>
      <c r="C27" s="3">
        <v>45470.0</v>
      </c>
      <c r="D27" s="2">
        <v>265.7</v>
      </c>
      <c r="E27" s="2">
        <v>63.0</v>
      </c>
      <c r="F27" s="2">
        <v>286.0</v>
      </c>
      <c r="G27" s="2" t="s">
        <v>16</v>
      </c>
      <c r="H27" s="1">
        <f t="shared" si="1"/>
        <v>2024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 t="s">
        <v>23</v>
      </c>
      <c r="B28" s="1" t="s">
        <v>32</v>
      </c>
      <c r="C28" s="3">
        <v>45495.0</v>
      </c>
      <c r="D28" s="2">
        <v>1009.7</v>
      </c>
      <c r="E28" s="2">
        <v>68.0</v>
      </c>
      <c r="F28" s="2">
        <v>155.0</v>
      </c>
      <c r="G28" s="2" t="s">
        <v>16</v>
      </c>
      <c r="H28" s="1">
        <f t="shared" si="1"/>
        <v>2024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 t="s">
        <v>63</v>
      </c>
      <c r="B29" s="1" t="s">
        <v>47</v>
      </c>
      <c r="C29" s="3">
        <v>44984.0</v>
      </c>
      <c r="D29" s="2">
        <v>1639.67</v>
      </c>
      <c r="E29" s="2">
        <v>62.0</v>
      </c>
      <c r="F29" s="2">
        <v>139.0</v>
      </c>
      <c r="G29" s="2" t="s">
        <v>12</v>
      </c>
      <c r="H29" s="1">
        <f t="shared" si="1"/>
        <v>2023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 t="s">
        <v>46</v>
      </c>
      <c r="B30" s="1" t="s">
        <v>19</v>
      </c>
      <c r="C30" s="3">
        <v>45519.0</v>
      </c>
      <c r="D30" s="2">
        <v>1495.26</v>
      </c>
      <c r="E30" s="2">
        <v>62.0</v>
      </c>
      <c r="F30" s="2">
        <v>149.0</v>
      </c>
      <c r="G30" s="2" t="s">
        <v>12</v>
      </c>
      <c r="H30" s="1">
        <f t="shared" si="1"/>
        <v>2024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 t="s">
        <v>54</v>
      </c>
      <c r="B31" s="1" t="s">
        <v>27</v>
      </c>
      <c r="C31" s="3">
        <v>45569.0</v>
      </c>
      <c r="D31" s="2">
        <v>480.33</v>
      </c>
      <c r="E31" s="2">
        <v>64.0</v>
      </c>
      <c r="F31" s="2">
        <v>243.0</v>
      </c>
      <c r="G31" s="2" t="s">
        <v>16</v>
      </c>
      <c r="H31" s="1">
        <f t="shared" si="1"/>
        <v>2024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 t="s">
        <v>52</v>
      </c>
      <c r="B32" s="1" t="s">
        <v>47</v>
      </c>
      <c r="C32" s="3">
        <v>45224.0</v>
      </c>
      <c r="D32" s="2">
        <v>1379.83</v>
      </c>
      <c r="E32" s="2">
        <v>70.0</v>
      </c>
      <c r="F32" s="2">
        <v>218.0</v>
      </c>
      <c r="G32" s="2" t="s">
        <v>12</v>
      </c>
      <c r="H32" s="1">
        <f t="shared" si="1"/>
        <v>2023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 t="s">
        <v>46</v>
      </c>
      <c r="B33" s="1" t="s">
        <v>15</v>
      </c>
      <c r="C33" s="3">
        <v>45055.0</v>
      </c>
      <c r="D33" s="2">
        <v>1776.59</v>
      </c>
      <c r="E33" s="2">
        <v>79.0</v>
      </c>
      <c r="F33" s="2">
        <v>248.0</v>
      </c>
      <c r="G33" s="2" t="s">
        <v>16</v>
      </c>
      <c r="H33" s="1">
        <f t="shared" si="1"/>
        <v>2023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 t="s">
        <v>54</v>
      </c>
      <c r="B34" s="1" t="s">
        <v>19</v>
      </c>
      <c r="C34" s="3">
        <v>45449.0</v>
      </c>
      <c r="D34" s="2">
        <v>777.78</v>
      </c>
      <c r="E34" s="2">
        <v>88.0</v>
      </c>
      <c r="F34" s="2">
        <v>136.0</v>
      </c>
      <c r="G34" s="2" t="s">
        <v>16</v>
      </c>
      <c r="H34" s="1">
        <f t="shared" si="1"/>
        <v>2024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 t="s">
        <v>70</v>
      </c>
      <c r="B35" s="1" t="s">
        <v>30</v>
      </c>
      <c r="C35" s="3">
        <v>45237.0</v>
      </c>
      <c r="D35" s="2">
        <v>977.55</v>
      </c>
      <c r="E35" s="2">
        <v>78.0</v>
      </c>
      <c r="F35" s="2">
        <v>242.0</v>
      </c>
      <c r="G35" s="2" t="s">
        <v>12</v>
      </c>
      <c r="H35" s="1">
        <f t="shared" si="1"/>
        <v>2023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 t="s">
        <v>54</v>
      </c>
      <c r="B36" s="1" t="s">
        <v>35</v>
      </c>
      <c r="C36" s="3">
        <v>45422.0</v>
      </c>
      <c r="D36" s="2">
        <v>801.7</v>
      </c>
      <c r="E36" s="2">
        <v>79.0</v>
      </c>
      <c r="F36" s="2">
        <v>180.0</v>
      </c>
      <c r="G36" s="2" t="s">
        <v>12</v>
      </c>
      <c r="H36" s="1">
        <f t="shared" si="1"/>
        <v>2024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 t="s">
        <v>70</v>
      </c>
      <c r="B37" s="1" t="s">
        <v>32</v>
      </c>
      <c r="C37" s="3">
        <v>45447.0</v>
      </c>
      <c r="D37" s="2">
        <v>1393.52</v>
      </c>
      <c r="E37" s="2">
        <v>80.0</v>
      </c>
      <c r="F37" s="2">
        <v>244.0</v>
      </c>
      <c r="G37" s="2" t="s">
        <v>16</v>
      </c>
      <c r="H37" s="1">
        <f t="shared" si="1"/>
        <v>2024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 t="s">
        <v>63</v>
      </c>
      <c r="B38" s="1" t="s">
        <v>47</v>
      </c>
      <c r="C38" s="3">
        <v>45414.0</v>
      </c>
      <c r="D38" s="2">
        <v>852.81</v>
      </c>
      <c r="E38" s="2">
        <v>88.0</v>
      </c>
      <c r="F38" s="2">
        <v>212.0</v>
      </c>
      <c r="G38" s="2" t="s">
        <v>16</v>
      </c>
      <c r="H38" s="1">
        <f t="shared" si="1"/>
        <v>2024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 t="s">
        <v>21</v>
      </c>
      <c r="B39" s="1" t="s">
        <v>35</v>
      </c>
      <c r="C39" s="3">
        <v>45418.0</v>
      </c>
      <c r="D39" s="2">
        <v>1353.88</v>
      </c>
      <c r="E39" s="2">
        <v>92.0</v>
      </c>
      <c r="F39" s="2">
        <v>125.0</v>
      </c>
      <c r="G39" s="2" t="s">
        <v>16</v>
      </c>
      <c r="H39" s="1">
        <f t="shared" si="1"/>
        <v>2024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 t="s">
        <v>29</v>
      </c>
      <c r="B40" s="1" t="s">
        <v>32</v>
      </c>
      <c r="C40" s="3">
        <v>45511.0</v>
      </c>
      <c r="D40" s="2">
        <v>580.94</v>
      </c>
      <c r="E40" s="2">
        <v>99.0</v>
      </c>
      <c r="F40" s="2">
        <v>157.0</v>
      </c>
      <c r="G40" s="2" t="s">
        <v>16</v>
      </c>
      <c r="H40" s="1">
        <f t="shared" si="1"/>
        <v>2024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 t="s">
        <v>57</v>
      </c>
      <c r="B41" s="1" t="s">
        <v>32</v>
      </c>
      <c r="C41" s="3">
        <v>45261.0</v>
      </c>
      <c r="D41" s="2">
        <v>574.1</v>
      </c>
      <c r="E41" s="2">
        <v>80.0</v>
      </c>
      <c r="F41" s="2">
        <v>128.0</v>
      </c>
      <c r="G41" s="2" t="s">
        <v>16</v>
      </c>
      <c r="H41" s="1">
        <f t="shared" si="1"/>
        <v>2023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 t="s">
        <v>78</v>
      </c>
      <c r="B42" s="1" t="s">
        <v>35</v>
      </c>
      <c r="C42" s="3">
        <v>45188.0</v>
      </c>
      <c r="D42" s="2">
        <v>562.47</v>
      </c>
      <c r="E42" s="2">
        <v>95.0</v>
      </c>
      <c r="F42" s="2">
        <v>188.0</v>
      </c>
      <c r="G42" s="2" t="s">
        <v>12</v>
      </c>
      <c r="H42" s="1">
        <f t="shared" si="1"/>
        <v>2023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 t="s">
        <v>57</v>
      </c>
      <c r="B43" s="1" t="s">
        <v>15</v>
      </c>
      <c r="C43" s="3">
        <v>45620.0</v>
      </c>
      <c r="D43" s="2">
        <v>261.13</v>
      </c>
      <c r="E43" s="2">
        <v>73.0</v>
      </c>
      <c r="F43" s="2">
        <v>138.0</v>
      </c>
      <c r="G43" s="2" t="s">
        <v>16</v>
      </c>
      <c r="H43" s="1">
        <f t="shared" si="1"/>
        <v>2024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 t="s">
        <v>46</v>
      </c>
      <c r="B44" s="1" t="s">
        <v>15</v>
      </c>
      <c r="C44" s="3">
        <v>45623.0</v>
      </c>
      <c r="D44" s="2">
        <v>949.72</v>
      </c>
      <c r="E44" s="2">
        <v>97.0</v>
      </c>
      <c r="F44" s="2">
        <v>151.0</v>
      </c>
      <c r="G44" s="2" t="s">
        <v>16</v>
      </c>
      <c r="H44" s="1">
        <f t="shared" si="1"/>
        <v>2024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 t="s">
        <v>82</v>
      </c>
      <c r="B45" s="1" t="s">
        <v>47</v>
      </c>
      <c r="C45" s="3">
        <v>44972.0</v>
      </c>
      <c r="D45" s="2">
        <v>1764.7</v>
      </c>
      <c r="E45" s="2">
        <v>93.0</v>
      </c>
      <c r="F45" s="2">
        <v>222.0</v>
      </c>
      <c r="G45" s="2" t="s">
        <v>12</v>
      </c>
      <c r="H45" s="1">
        <f t="shared" si="1"/>
        <v>2023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 t="s">
        <v>57</v>
      </c>
      <c r="B46" s="1" t="s">
        <v>19</v>
      </c>
      <c r="C46" s="3">
        <v>45049.0</v>
      </c>
      <c r="D46" s="2">
        <v>367.83</v>
      </c>
      <c r="E46" s="2">
        <v>98.0</v>
      </c>
      <c r="F46" s="2">
        <v>267.0</v>
      </c>
      <c r="G46" s="2" t="s">
        <v>16</v>
      </c>
      <c r="H46" s="1">
        <f t="shared" si="1"/>
        <v>2023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 t="s">
        <v>52</v>
      </c>
      <c r="B47" s="1" t="s">
        <v>15</v>
      </c>
      <c r="C47" s="3">
        <v>45113.0</v>
      </c>
      <c r="D47" s="2">
        <v>586.39</v>
      </c>
      <c r="E47" s="2">
        <v>84.0</v>
      </c>
      <c r="F47" s="2">
        <v>228.0</v>
      </c>
      <c r="G47" s="2" t="s">
        <v>16</v>
      </c>
      <c r="H47" s="1">
        <f t="shared" si="1"/>
        <v>2023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 t="s">
        <v>21</v>
      </c>
      <c r="B48" s="1" t="s">
        <v>30</v>
      </c>
      <c r="C48" s="3">
        <v>45111.0</v>
      </c>
      <c r="D48" s="2">
        <v>1639.41</v>
      </c>
      <c r="E48" s="2">
        <v>67.0</v>
      </c>
      <c r="F48" s="2">
        <v>241.0</v>
      </c>
      <c r="G48" s="2" t="s">
        <v>12</v>
      </c>
      <c r="H48" s="1">
        <f t="shared" si="1"/>
        <v>2023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 t="s">
        <v>10</v>
      </c>
      <c r="B49" s="1" t="s">
        <v>15</v>
      </c>
      <c r="C49" s="3">
        <v>45359.0</v>
      </c>
      <c r="D49" s="2">
        <v>581.52</v>
      </c>
      <c r="E49" s="2">
        <v>94.0</v>
      </c>
      <c r="F49" s="2">
        <v>232.0</v>
      </c>
      <c r="G49" s="2" t="s">
        <v>12</v>
      </c>
      <c r="H49" s="1">
        <f t="shared" si="1"/>
        <v>2024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 t="s">
        <v>57</v>
      </c>
      <c r="B50" s="1" t="s">
        <v>19</v>
      </c>
      <c r="C50" s="3">
        <v>45275.0</v>
      </c>
      <c r="D50" s="2">
        <v>1613.2</v>
      </c>
      <c r="E50" s="2">
        <v>92.0</v>
      </c>
      <c r="F50" s="2">
        <v>145.0</v>
      </c>
      <c r="G50" s="2" t="s">
        <v>16</v>
      </c>
      <c r="H50" s="1">
        <f t="shared" si="1"/>
        <v>2023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 t="s">
        <v>89</v>
      </c>
      <c r="B51" s="1" t="s">
        <v>19</v>
      </c>
      <c r="C51" s="3">
        <v>45456.0</v>
      </c>
      <c r="D51" s="2">
        <v>671.48</v>
      </c>
      <c r="E51" s="2">
        <v>93.0</v>
      </c>
      <c r="F51" s="2">
        <v>128.0</v>
      </c>
      <c r="G51" s="2" t="s">
        <v>16</v>
      </c>
      <c r="H51" s="1">
        <f t="shared" si="1"/>
        <v>2024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 t="s">
        <v>38</v>
      </c>
      <c r="B52" s="1" t="s">
        <v>24</v>
      </c>
      <c r="C52" s="3">
        <v>45328.0</v>
      </c>
      <c r="D52" s="2">
        <v>1108.23</v>
      </c>
      <c r="E52" s="2">
        <v>93.0</v>
      </c>
      <c r="F52" s="2">
        <v>190.0</v>
      </c>
      <c r="G52" s="2" t="s">
        <v>12</v>
      </c>
      <c r="H52" s="1">
        <f t="shared" si="1"/>
        <v>2024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 t="s">
        <v>78</v>
      </c>
      <c r="B53" s="1" t="s">
        <v>27</v>
      </c>
      <c r="C53" s="3">
        <v>45188.0</v>
      </c>
      <c r="D53" s="2">
        <v>1239.4</v>
      </c>
      <c r="E53" s="2">
        <v>94.0</v>
      </c>
      <c r="F53" s="2">
        <v>260.0</v>
      </c>
      <c r="G53" s="2" t="s">
        <v>16</v>
      </c>
      <c r="H53" s="1">
        <f t="shared" si="1"/>
        <v>2023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 t="s">
        <v>10</v>
      </c>
      <c r="B54" s="1" t="s">
        <v>30</v>
      </c>
      <c r="C54" s="3">
        <v>45267.0</v>
      </c>
      <c r="D54" s="2">
        <v>1603.6</v>
      </c>
      <c r="E54" s="2">
        <v>99.0</v>
      </c>
      <c r="F54" s="2">
        <v>126.0</v>
      </c>
      <c r="G54" s="2" t="s">
        <v>16</v>
      </c>
      <c r="H54" s="1">
        <f t="shared" si="1"/>
        <v>2023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 t="s">
        <v>41</v>
      </c>
      <c r="B55" s="1" t="s">
        <v>27</v>
      </c>
      <c r="C55" s="3">
        <v>45269.0</v>
      </c>
      <c r="D55" s="2">
        <v>809.42</v>
      </c>
      <c r="E55" s="2">
        <v>82.0</v>
      </c>
      <c r="F55" s="2">
        <v>273.0</v>
      </c>
      <c r="G55" s="2" t="s">
        <v>12</v>
      </c>
      <c r="H55" s="1">
        <f t="shared" si="1"/>
        <v>2023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 t="s">
        <v>46</v>
      </c>
      <c r="B56" s="1" t="s">
        <v>27</v>
      </c>
      <c r="C56" s="3">
        <v>45605.0</v>
      </c>
      <c r="D56" s="2">
        <v>211.96</v>
      </c>
      <c r="E56" s="2">
        <v>87.0</v>
      </c>
      <c r="F56" s="2">
        <v>245.0</v>
      </c>
      <c r="G56" s="2" t="s">
        <v>16</v>
      </c>
      <c r="H56" s="1">
        <f t="shared" si="1"/>
        <v>2024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 t="s">
        <v>38</v>
      </c>
      <c r="B57" s="1" t="s">
        <v>15</v>
      </c>
      <c r="C57" s="3">
        <v>45050.0</v>
      </c>
      <c r="D57" s="2">
        <v>1053.25</v>
      </c>
      <c r="E57" s="2">
        <v>96.0</v>
      </c>
      <c r="F57" s="2">
        <v>126.0</v>
      </c>
      <c r="G57" s="2" t="s">
        <v>12</v>
      </c>
      <c r="H57" s="1">
        <f t="shared" si="1"/>
        <v>2023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 t="s">
        <v>41</v>
      </c>
      <c r="B58" s="1" t="s">
        <v>11</v>
      </c>
      <c r="C58" s="3">
        <v>45249.0</v>
      </c>
      <c r="D58" s="2">
        <v>1791.49</v>
      </c>
      <c r="E58" s="2">
        <v>62.0</v>
      </c>
      <c r="F58" s="2">
        <v>176.0</v>
      </c>
      <c r="G58" s="2" t="s">
        <v>16</v>
      </c>
      <c r="H58" s="1">
        <f t="shared" si="1"/>
        <v>2023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 t="s">
        <v>57</v>
      </c>
      <c r="B59" s="1" t="s">
        <v>19</v>
      </c>
      <c r="C59" s="3">
        <v>45176.0</v>
      </c>
      <c r="D59" s="2">
        <v>1595.19</v>
      </c>
      <c r="E59" s="2">
        <v>90.0</v>
      </c>
      <c r="F59" s="2">
        <v>252.0</v>
      </c>
      <c r="G59" s="2" t="s">
        <v>16</v>
      </c>
      <c r="H59" s="1">
        <f t="shared" si="1"/>
        <v>2023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 t="s">
        <v>78</v>
      </c>
      <c r="B60" s="1" t="s">
        <v>32</v>
      </c>
      <c r="C60" s="3">
        <v>45278.0</v>
      </c>
      <c r="D60" s="2">
        <v>1099.71</v>
      </c>
      <c r="E60" s="2">
        <v>88.0</v>
      </c>
      <c r="F60" s="2">
        <v>204.0</v>
      </c>
      <c r="G60" s="2" t="s">
        <v>12</v>
      </c>
      <c r="H60" s="1">
        <f t="shared" si="1"/>
        <v>2023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 t="s">
        <v>89</v>
      </c>
      <c r="B61" s="1" t="s">
        <v>32</v>
      </c>
      <c r="C61" s="3">
        <v>45343.0</v>
      </c>
      <c r="D61" s="2">
        <v>1248.03</v>
      </c>
      <c r="E61" s="2">
        <v>81.0</v>
      </c>
      <c r="F61" s="2">
        <v>163.0</v>
      </c>
      <c r="G61" s="2" t="s">
        <v>12</v>
      </c>
      <c r="H61" s="1">
        <f t="shared" si="1"/>
        <v>2024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 t="s">
        <v>52</v>
      </c>
      <c r="B62" s="1" t="s">
        <v>32</v>
      </c>
      <c r="C62" s="3">
        <v>45578.0</v>
      </c>
      <c r="D62" s="2">
        <v>1604.35</v>
      </c>
      <c r="E62" s="2">
        <v>81.0</v>
      </c>
      <c r="F62" s="2">
        <v>275.0</v>
      </c>
      <c r="G62" s="2" t="s">
        <v>16</v>
      </c>
      <c r="H62" s="1">
        <f t="shared" si="1"/>
        <v>2024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 t="s">
        <v>54</v>
      </c>
      <c r="B63" s="1" t="s">
        <v>27</v>
      </c>
      <c r="C63" s="3">
        <v>45550.0</v>
      </c>
      <c r="D63" s="2">
        <v>1517.33</v>
      </c>
      <c r="E63" s="2">
        <v>99.0</v>
      </c>
      <c r="F63" s="2">
        <v>240.0</v>
      </c>
      <c r="G63" s="2" t="s">
        <v>12</v>
      </c>
      <c r="H63" s="1">
        <f t="shared" si="1"/>
        <v>2024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 t="s">
        <v>78</v>
      </c>
      <c r="B64" s="1" t="s">
        <v>27</v>
      </c>
      <c r="C64" s="3">
        <v>45538.0</v>
      </c>
      <c r="D64" s="2">
        <v>946.23</v>
      </c>
      <c r="E64" s="2">
        <v>99.0</v>
      </c>
      <c r="F64" s="2">
        <v>213.0</v>
      </c>
      <c r="G64" s="2" t="s">
        <v>12</v>
      </c>
      <c r="H64" s="1">
        <f t="shared" si="1"/>
        <v>2024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 t="s">
        <v>63</v>
      </c>
      <c r="B65" s="1" t="s">
        <v>11</v>
      </c>
      <c r="C65" s="3">
        <v>45441.0</v>
      </c>
      <c r="D65" s="2">
        <v>372.17</v>
      </c>
      <c r="E65" s="2">
        <v>70.0</v>
      </c>
      <c r="F65" s="2">
        <v>258.0</v>
      </c>
      <c r="G65" s="2" t="s">
        <v>16</v>
      </c>
      <c r="H65" s="1">
        <f t="shared" si="1"/>
        <v>2024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 t="s">
        <v>63</v>
      </c>
      <c r="B66" s="1" t="s">
        <v>11</v>
      </c>
      <c r="C66" s="3">
        <v>45189.0</v>
      </c>
      <c r="D66" s="2">
        <v>494.34</v>
      </c>
      <c r="E66" s="2">
        <v>96.0</v>
      </c>
      <c r="F66" s="2">
        <v>139.0</v>
      </c>
      <c r="G66" s="2" t="s">
        <v>12</v>
      </c>
      <c r="H66" s="1">
        <f t="shared" si="1"/>
        <v>2023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 t="s">
        <v>63</v>
      </c>
      <c r="B67" s="1" t="s">
        <v>32</v>
      </c>
      <c r="C67" s="3">
        <v>45512.0</v>
      </c>
      <c r="D67" s="2">
        <v>1514.03</v>
      </c>
      <c r="E67" s="2">
        <v>90.0</v>
      </c>
      <c r="F67" s="2">
        <v>281.0</v>
      </c>
      <c r="G67" s="2" t="s">
        <v>12</v>
      </c>
      <c r="H67" s="1">
        <f t="shared" si="1"/>
        <v>2024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 t="s">
        <v>23</v>
      </c>
      <c r="B68" s="1" t="s">
        <v>15</v>
      </c>
      <c r="C68" s="3">
        <v>45047.0</v>
      </c>
      <c r="D68" s="2">
        <v>1205.22</v>
      </c>
      <c r="E68" s="2">
        <v>78.0</v>
      </c>
      <c r="F68" s="2">
        <v>235.0</v>
      </c>
      <c r="G68" s="2" t="s">
        <v>16</v>
      </c>
      <c r="H68" s="1">
        <f t="shared" si="1"/>
        <v>2023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 t="s">
        <v>10</v>
      </c>
      <c r="B69" s="1" t="s">
        <v>27</v>
      </c>
      <c r="C69" s="3">
        <v>45374.0</v>
      </c>
      <c r="D69" s="2">
        <v>1306.82</v>
      </c>
      <c r="E69" s="2">
        <v>63.0</v>
      </c>
      <c r="F69" s="2">
        <v>220.0</v>
      </c>
      <c r="G69" s="2" t="s">
        <v>16</v>
      </c>
      <c r="H69" s="1">
        <f t="shared" si="1"/>
        <v>2024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 t="s">
        <v>46</v>
      </c>
      <c r="B70" s="1" t="s">
        <v>32</v>
      </c>
      <c r="C70" s="3">
        <v>45479.0</v>
      </c>
      <c r="D70" s="2">
        <v>834.89</v>
      </c>
      <c r="E70" s="2">
        <v>80.0</v>
      </c>
      <c r="F70" s="2">
        <v>254.0</v>
      </c>
      <c r="G70" s="2" t="s">
        <v>12</v>
      </c>
      <c r="H70" s="1">
        <f t="shared" si="1"/>
        <v>2024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 t="s">
        <v>52</v>
      </c>
      <c r="B71" s="1" t="s">
        <v>11</v>
      </c>
      <c r="C71" s="3">
        <v>45480.0</v>
      </c>
      <c r="D71" s="2">
        <v>325.88</v>
      </c>
      <c r="E71" s="2">
        <v>72.0</v>
      </c>
      <c r="F71" s="2">
        <v>179.0</v>
      </c>
      <c r="G71" s="2" t="s">
        <v>12</v>
      </c>
      <c r="H71" s="1">
        <f t="shared" si="1"/>
        <v>2024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 t="s">
        <v>38</v>
      </c>
      <c r="B72" s="1" t="s">
        <v>27</v>
      </c>
      <c r="C72" s="3">
        <v>45290.0</v>
      </c>
      <c r="D72" s="2">
        <v>1777.04</v>
      </c>
      <c r="E72" s="2">
        <v>72.0</v>
      </c>
      <c r="F72" s="2">
        <v>284.0</v>
      </c>
      <c r="G72" s="2" t="s">
        <v>12</v>
      </c>
      <c r="H72" s="1">
        <f t="shared" si="1"/>
        <v>2023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 t="s">
        <v>82</v>
      </c>
      <c r="B73" s="1" t="s">
        <v>35</v>
      </c>
      <c r="C73" s="3">
        <v>45559.0</v>
      </c>
      <c r="D73" s="2">
        <v>1355.43</v>
      </c>
      <c r="E73" s="2">
        <v>69.0</v>
      </c>
      <c r="F73" s="2">
        <v>149.0</v>
      </c>
      <c r="G73" s="2" t="s">
        <v>16</v>
      </c>
      <c r="H73" s="1">
        <f t="shared" si="1"/>
        <v>2024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 t="s">
        <v>23</v>
      </c>
      <c r="B74" s="1" t="s">
        <v>24</v>
      </c>
      <c r="C74" s="3">
        <v>45266.0</v>
      </c>
      <c r="D74" s="2">
        <v>1068.46</v>
      </c>
      <c r="E74" s="2">
        <v>64.0</v>
      </c>
      <c r="F74" s="2">
        <v>216.0</v>
      </c>
      <c r="G74" s="2" t="s">
        <v>16</v>
      </c>
      <c r="H74" s="1">
        <f t="shared" si="1"/>
        <v>2023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 t="s">
        <v>26</v>
      </c>
      <c r="B75" s="1" t="s">
        <v>32</v>
      </c>
      <c r="C75" s="3">
        <v>45170.0</v>
      </c>
      <c r="D75" s="2">
        <v>1756.35</v>
      </c>
      <c r="E75" s="2">
        <v>71.0</v>
      </c>
      <c r="F75" s="2">
        <v>258.0</v>
      </c>
      <c r="G75" s="2" t="s">
        <v>16</v>
      </c>
      <c r="H75" s="1">
        <f t="shared" si="1"/>
        <v>2023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 t="s">
        <v>18</v>
      </c>
      <c r="B76" s="1" t="s">
        <v>24</v>
      </c>
      <c r="C76" s="3">
        <v>45063.0</v>
      </c>
      <c r="D76" s="2">
        <v>684.48</v>
      </c>
      <c r="E76" s="2">
        <v>85.0</v>
      </c>
      <c r="F76" s="2">
        <v>142.0</v>
      </c>
      <c r="G76" s="2" t="s">
        <v>16</v>
      </c>
      <c r="H76" s="1">
        <f t="shared" si="1"/>
        <v>2023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 t="s">
        <v>78</v>
      </c>
      <c r="B77" s="1" t="s">
        <v>24</v>
      </c>
      <c r="C77" s="3">
        <v>45441.0</v>
      </c>
      <c r="D77" s="2">
        <v>1648.53</v>
      </c>
      <c r="E77" s="2">
        <v>75.0</v>
      </c>
      <c r="F77" s="2">
        <v>160.0</v>
      </c>
      <c r="G77" s="2" t="s">
        <v>12</v>
      </c>
      <c r="H77" s="1">
        <f t="shared" si="1"/>
        <v>2024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 t="s">
        <v>21</v>
      </c>
      <c r="B78" s="1" t="s">
        <v>35</v>
      </c>
      <c r="C78" s="3">
        <v>45089.0</v>
      </c>
      <c r="D78" s="2">
        <v>1513.24</v>
      </c>
      <c r="E78" s="2">
        <v>62.0</v>
      </c>
      <c r="F78" s="2">
        <v>170.0</v>
      </c>
      <c r="G78" s="2" t="s">
        <v>16</v>
      </c>
      <c r="H78" s="1">
        <f t="shared" si="1"/>
        <v>2023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 t="s">
        <v>21</v>
      </c>
      <c r="B79" s="1" t="s">
        <v>30</v>
      </c>
      <c r="C79" s="3">
        <v>45609.0</v>
      </c>
      <c r="D79" s="2">
        <v>1340.8</v>
      </c>
      <c r="E79" s="2">
        <v>62.0</v>
      </c>
      <c r="F79" s="2">
        <v>150.0</v>
      </c>
      <c r="G79" s="2" t="s">
        <v>16</v>
      </c>
      <c r="H79" s="1">
        <f t="shared" si="1"/>
        <v>2024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 t="s">
        <v>34</v>
      </c>
      <c r="B80" s="1" t="s">
        <v>15</v>
      </c>
      <c r="C80" s="3">
        <v>45512.0</v>
      </c>
      <c r="D80" s="2">
        <v>1015.7</v>
      </c>
      <c r="E80" s="2">
        <v>79.0</v>
      </c>
      <c r="F80" s="2">
        <v>288.0</v>
      </c>
      <c r="G80" s="2" t="s">
        <v>12</v>
      </c>
      <c r="H80" s="1">
        <f t="shared" si="1"/>
        <v>2024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 t="s">
        <v>10</v>
      </c>
      <c r="B81" s="1" t="s">
        <v>47</v>
      </c>
      <c r="C81" s="3">
        <v>45461.0</v>
      </c>
      <c r="D81" s="2">
        <v>221.93</v>
      </c>
      <c r="E81" s="2">
        <v>98.0</v>
      </c>
      <c r="F81" s="2">
        <v>181.0</v>
      </c>
      <c r="G81" s="2" t="s">
        <v>12</v>
      </c>
      <c r="H81" s="1">
        <f t="shared" si="1"/>
        <v>2024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 t="s">
        <v>38</v>
      </c>
      <c r="B82" s="1" t="s">
        <v>24</v>
      </c>
      <c r="C82" s="3">
        <v>45205.0</v>
      </c>
      <c r="D82" s="2">
        <v>759.23</v>
      </c>
      <c r="E82" s="2">
        <v>71.0</v>
      </c>
      <c r="F82" s="2">
        <v>296.0</v>
      </c>
      <c r="G82" s="2" t="s">
        <v>12</v>
      </c>
      <c r="H82" s="1">
        <f t="shared" si="1"/>
        <v>2023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 t="s">
        <v>52</v>
      </c>
      <c r="B83" s="1" t="s">
        <v>27</v>
      </c>
      <c r="C83" s="3">
        <v>45184.0</v>
      </c>
      <c r="D83" s="2">
        <v>1474.57</v>
      </c>
      <c r="E83" s="2">
        <v>79.0</v>
      </c>
      <c r="F83" s="2">
        <v>181.0</v>
      </c>
      <c r="G83" s="2" t="s">
        <v>16</v>
      </c>
      <c r="H83" s="1">
        <f t="shared" si="1"/>
        <v>2023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 t="s">
        <v>21</v>
      </c>
      <c r="B84" s="1" t="s">
        <v>35</v>
      </c>
      <c r="C84" s="3">
        <v>45251.0</v>
      </c>
      <c r="D84" s="2">
        <v>1158.72</v>
      </c>
      <c r="E84" s="2">
        <v>94.0</v>
      </c>
      <c r="F84" s="2">
        <v>296.0</v>
      </c>
      <c r="G84" s="2" t="s">
        <v>16</v>
      </c>
      <c r="H84" s="1">
        <f t="shared" si="1"/>
        <v>2023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 t="s">
        <v>29</v>
      </c>
      <c r="B85" s="1" t="s">
        <v>32</v>
      </c>
      <c r="C85" s="3">
        <v>45213.0</v>
      </c>
      <c r="D85" s="2">
        <v>851.44</v>
      </c>
      <c r="E85" s="2">
        <v>84.0</v>
      </c>
      <c r="F85" s="2">
        <v>128.0</v>
      </c>
      <c r="G85" s="2" t="s">
        <v>16</v>
      </c>
      <c r="H85" s="1">
        <f t="shared" si="1"/>
        <v>2023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 t="s">
        <v>18</v>
      </c>
      <c r="B86" s="1" t="s">
        <v>27</v>
      </c>
      <c r="C86" s="3">
        <v>45575.0</v>
      </c>
      <c r="D86" s="2">
        <v>1211.0</v>
      </c>
      <c r="E86" s="2">
        <v>80.0</v>
      </c>
      <c r="F86" s="2">
        <v>205.0</v>
      </c>
      <c r="G86" s="2" t="s">
        <v>16</v>
      </c>
      <c r="H86" s="1">
        <f t="shared" si="1"/>
        <v>2024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 t="s">
        <v>29</v>
      </c>
      <c r="B87" s="1" t="s">
        <v>27</v>
      </c>
      <c r="C87" s="3">
        <v>45442.0</v>
      </c>
      <c r="D87" s="2">
        <v>1453.5</v>
      </c>
      <c r="E87" s="2">
        <v>94.0</v>
      </c>
      <c r="F87" s="2">
        <v>148.0</v>
      </c>
      <c r="G87" s="2" t="s">
        <v>16</v>
      </c>
      <c r="H87" s="1">
        <f t="shared" si="1"/>
        <v>2024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 t="s">
        <v>57</v>
      </c>
      <c r="B88" s="1" t="s">
        <v>35</v>
      </c>
      <c r="C88" s="3">
        <v>45373.0</v>
      </c>
      <c r="D88" s="2">
        <v>1261.93</v>
      </c>
      <c r="E88" s="2">
        <v>78.0</v>
      </c>
      <c r="F88" s="2">
        <v>207.0</v>
      </c>
      <c r="G88" s="2" t="s">
        <v>12</v>
      </c>
      <c r="H88" s="1">
        <f t="shared" si="1"/>
        <v>2024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 t="s">
        <v>10</v>
      </c>
      <c r="B89" s="1" t="s">
        <v>27</v>
      </c>
      <c r="C89" s="3">
        <v>45548.0</v>
      </c>
      <c r="D89" s="2">
        <v>1011.72</v>
      </c>
      <c r="E89" s="2">
        <v>80.0</v>
      </c>
      <c r="F89" s="2">
        <v>166.0</v>
      </c>
      <c r="G89" s="2" t="s">
        <v>16</v>
      </c>
      <c r="H89" s="1">
        <f t="shared" si="1"/>
        <v>2024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 t="s">
        <v>41</v>
      </c>
      <c r="B90" s="1" t="s">
        <v>15</v>
      </c>
      <c r="C90" s="3">
        <v>44991.0</v>
      </c>
      <c r="D90" s="2">
        <v>975.67</v>
      </c>
      <c r="E90" s="2">
        <v>77.0</v>
      </c>
      <c r="F90" s="2">
        <v>190.0</v>
      </c>
      <c r="G90" s="2" t="s">
        <v>12</v>
      </c>
      <c r="H90" s="1">
        <f t="shared" si="1"/>
        <v>2023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 t="s">
        <v>23</v>
      </c>
      <c r="B91" s="1" t="s">
        <v>47</v>
      </c>
      <c r="C91" s="3">
        <v>45429.0</v>
      </c>
      <c r="D91" s="2">
        <v>311.35</v>
      </c>
      <c r="E91" s="2">
        <v>76.0</v>
      </c>
      <c r="F91" s="2">
        <v>148.0</v>
      </c>
      <c r="G91" s="2" t="s">
        <v>12</v>
      </c>
      <c r="H91" s="1">
        <f t="shared" si="1"/>
        <v>2024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 t="s">
        <v>78</v>
      </c>
      <c r="B92" s="1" t="s">
        <v>24</v>
      </c>
      <c r="C92" s="3">
        <v>45395.0</v>
      </c>
      <c r="D92" s="2">
        <v>265.47</v>
      </c>
      <c r="E92" s="2">
        <v>62.0</v>
      </c>
      <c r="F92" s="2">
        <v>204.0</v>
      </c>
      <c r="G92" s="2" t="s">
        <v>12</v>
      </c>
      <c r="H92" s="1">
        <f t="shared" si="1"/>
        <v>2024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 t="s">
        <v>54</v>
      </c>
      <c r="B93" s="1" t="s">
        <v>32</v>
      </c>
      <c r="C93" s="3">
        <v>45174.0</v>
      </c>
      <c r="D93" s="2">
        <v>172.8</v>
      </c>
      <c r="E93" s="2">
        <v>61.0</v>
      </c>
      <c r="F93" s="2">
        <v>223.0</v>
      </c>
      <c r="G93" s="2" t="s">
        <v>12</v>
      </c>
      <c r="H93" s="1">
        <f t="shared" si="1"/>
        <v>2023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 t="s">
        <v>54</v>
      </c>
      <c r="B94" s="1" t="s">
        <v>24</v>
      </c>
      <c r="C94" s="3">
        <v>45308.0</v>
      </c>
      <c r="D94" s="2">
        <v>1262.27</v>
      </c>
      <c r="E94" s="2">
        <v>98.0</v>
      </c>
      <c r="F94" s="2">
        <v>169.0</v>
      </c>
      <c r="G94" s="2" t="s">
        <v>16</v>
      </c>
      <c r="H94" s="1">
        <f t="shared" si="1"/>
        <v>2024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 t="s">
        <v>43</v>
      </c>
      <c r="B95" s="1" t="s">
        <v>30</v>
      </c>
      <c r="C95" s="3">
        <v>45264.0</v>
      </c>
      <c r="D95" s="2">
        <v>1018.8</v>
      </c>
      <c r="E95" s="2">
        <v>81.0</v>
      </c>
      <c r="F95" s="2">
        <v>204.0</v>
      </c>
      <c r="G95" s="2" t="s">
        <v>16</v>
      </c>
      <c r="H95" s="1">
        <f t="shared" si="1"/>
        <v>2023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 t="s">
        <v>89</v>
      </c>
      <c r="B96" s="1" t="s">
        <v>19</v>
      </c>
      <c r="C96" s="3">
        <v>45419.0</v>
      </c>
      <c r="D96" s="2">
        <v>665.78</v>
      </c>
      <c r="E96" s="2">
        <v>68.0</v>
      </c>
      <c r="F96" s="2">
        <v>124.0</v>
      </c>
      <c r="G96" s="2" t="s">
        <v>16</v>
      </c>
      <c r="H96" s="1">
        <f t="shared" si="1"/>
        <v>2024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 t="s">
        <v>18</v>
      </c>
      <c r="B97" s="1" t="s">
        <v>24</v>
      </c>
      <c r="C97" s="3">
        <v>45165.0</v>
      </c>
      <c r="D97" s="2">
        <v>984.96</v>
      </c>
      <c r="E97" s="2">
        <v>80.0</v>
      </c>
      <c r="F97" s="2">
        <v>120.0</v>
      </c>
      <c r="G97" s="2" t="s">
        <v>12</v>
      </c>
      <c r="H97" s="1">
        <f t="shared" si="1"/>
        <v>2023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 t="s">
        <v>43</v>
      </c>
      <c r="B98" s="1" t="s">
        <v>32</v>
      </c>
      <c r="C98" s="3">
        <v>45471.0</v>
      </c>
      <c r="D98" s="2">
        <v>768.59</v>
      </c>
      <c r="E98" s="2">
        <v>61.0</v>
      </c>
      <c r="F98" s="2">
        <v>140.0</v>
      </c>
      <c r="G98" s="2" t="s">
        <v>16</v>
      </c>
      <c r="H98" s="1">
        <f t="shared" si="1"/>
        <v>2024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 t="s">
        <v>89</v>
      </c>
      <c r="B99" s="1" t="s">
        <v>27</v>
      </c>
      <c r="C99" s="3">
        <v>45091.0</v>
      </c>
      <c r="D99" s="2">
        <v>1409.08</v>
      </c>
      <c r="E99" s="2">
        <v>98.0</v>
      </c>
      <c r="F99" s="2">
        <v>258.0</v>
      </c>
      <c r="G99" s="2" t="s">
        <v>12</v>
      </c>
      <c r="H99" s="1">
        <f t="shared" si="1"/>
        <v>2023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 t="s">
        <v>14</v>
      </c>
      <c r="B100" s="1" t="s">
        <v>47</v>
      </c>
      <c r="C100" s="3">
        <v>45300.0</v>
      </c>
      <c r="D100" s="2">
        <v>976.79</v>
      </c>
      <c r="E100" s="2">
        <v>83.0</v>
      </c>
      <c r="F100" s="2">
        <v>265.0</v>
      </c>
      <c r="G100" s="2" t="s">
        <v>12</v>
      </c>
      <c r="H100" s="1">
        <f t="shared" si="1"/>
        <v>2024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 t="s">
        <v>21</v>
      </c>
      <c r="B101" s="1" t="s">
        <v>19</v>
      </c>
      <c r="C101" s="3">
        <v>45467.0</v>
      </c>
      <c r="D101" s="2">
        <v>1596.93</v>
      </c>
      <c r="E101" s="2">
        <v>94.0</v>
      </c>
      <c r="F101" s="2">
        <v>230.0</v>
      </c>
      <c r="G101" s="2" t="s">
        <v>16</v>
      </c>
      <c r="H101" s="1">
        <f t="shared" si="1"/>
        <v>2024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autoFilter ref="$A$1:$H$1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5"/>
    <col customWidth="1" min="2" max="2" width="20.13"/>
  </cols>
  <sheetData>
    <row r="3"/>
    <row r="4"/>
    <row r="5"/>
    <row r="6"/>
    <row r="7"/>
    <row r="8"/>
    <row r="9"/>
    <row r="10"/>
    <row r="11"/>
    <row r="12"/>
    <row r="13"/>
    <row r="20"/>
    <row r="21"/>
    <row r="22"/>
    <row r="23">
      <c r="K23" s="8"/>
    </row>
    <row r="24"/>
    <row r="48"/>
    <row r="49"/>
    <row r="50"/>
    <row r="51"/>
    <row r="52"/>
    <row r="75">
      <c r="A75" s="9" t="s">
        <v>147</v>
      </c>
      <c r="B75" s="9" t="s">
        <v>3</v>
      </c>
      <c r="C75" s="10"/>
      <c r="D75" s="10"/>
      <c r="E75" s="10"/>
      <c r="F75" s="10"/>
      <c r="G75" s="10"/>
      <c r="H75" s="10"/>
      <c r="I75" s="10"/>
      <c r="J75" s="10"/>
    </row>
    <row r="76">
      <c r="A76" s="11" t="s">
        <v>148</v>
      </c>
      <c r="B76" s="12" t="s">
        <v>47</v>
      </c>
      <c r="C76" s="12" t="s">
        <v>30</v>
      </c>
      <c r="D76" s="12" t="s">
        <v>15</v>
      </c>
      <c r="E76" s="12" t="s">
        <v>11</v>
      </c>
      <c r="F76" s="12" t="s">
        <v>35</v>
      </c>
      <c r="G76" s="12" t="s">
        <v>32</v>
      </c>
      <c r="H76" s="12" t="s">
        <v>27</v>
      </c>
      <c r="I76" s="12" t="s">
        <v>24</v>
      </c>
      <c r="J76" s="12" t="s">
        <v>19</v>
      </c>
    </row>
    <row r="77">
      <c r="A77" s="13">
        <v>2024.0</v>
      </c>
      <c r="B77" s="14">
        <v>86.25</v>
      </c>
      <c r="C77" s="14">
        <v>74.66666666666667</v>
      </c>
      <c r="D77" s="14">
        <v>80.0</v>
      </c>
      <c r="E77" s="14">
        <v>71.0</v>
      </c>
      <c r="F77" s="14">
        <v>79.5</v>
      </c>
      <c r="G77" s="14">
        <v>78.11111111111111</v>
      </c>
      <c r="H77" s="14">
        <v>81.5</v>
      </c>
      <c r="I77" s="14">
        <v>85.6</v>
      </c>
      <c r="J77" s="14">
        <v>81.0</v>
      </c>
    </row>
    <row r="78">
      <c r="A78" s="13">
        <v>2023.0</v>
      </c>
      <c r="B78" s="14">
        <v>71.75</v>
      </c>
      <c r="C78" s="14">
        <v>81.25</v>
      </c>
      <c r="D78" s="14">
        <v>81.33333333333333</v>
      </c>
      <c r="E78" s="14">
        <v>79.0</v>
      </c>
      <c r="F78" s="14">
        <v>78.5</v>
      </c>
      <c r="G78" s="14">
        <v>80.5</v>
      </c>
      <c r="H78" s="14">
        <v>86.83333333333333</v>
      </c>
      <c r="I78" s="14">
        <v>74.22222222222223</v>
      </c>
      <c r="J78" s="14">
        <v>88.75</v>
      </c>
    </row>
  </sheetData>
  <printOptions gridLines="1" horizontalCentered="1"/>
  <pageMargins bottom="1.0" footer="0.0" header="0.0" left="1.0" right="1.0" top="0.392063096938174"/>
  <pageSetup fitToHeight="0" paperSize="9" cellComments="atEnd" orientation="portrait" pageOrder="overThenDown"/>
  <drawing r:id="rId4"/>
</worksheet>
</file>